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iscovery &amp; Decisions" sheetId="2" state="visible" r:id="rId4"/>
    <sheet name="Sources" sheetId="3" state="visible" r:id="rId5"/>
    <sheet name="Change Notes" sheetId="4" state="visible" r:id="rId6"/>
  </sheets>
  <definedNames>
    <definedName function="false" hidden="false" localSheetId="1" name="_xlnm.Print_Titles" vbProcedure="false">'Discovery &amp; Decisions'!$4:$4</definedName>
    <definedName function="false" hidden="true" localSheetId="1" name="_xlnm._FilterDatabase" vbProcedure="false">'Discovery &amp; Decisions'!$A$4:$M$19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<sst xmlns="http://schemas.openxmlformats.org/spreadsheetml/2006/main" count="403" uniqueCount="298">
  <si>
    <t xml:space="preserve">Product Discovery &amp; Decision Log</t>
  </si>
  <si>
    <t xml:space="preserve">Merchant Payment Operations &amp; Dispute Hub</t>
  </si>
  <si>
    <t xml:space="preserve">Version</t>
  </si>
  <si>
    <t xml:space="preserve">2.0</t>
  </si>
  <si>
    <t xml:space="preserve">Date</t>
  </si>
  <si>
    <t xml:space="preserve">Prepared by</t>
  </si>
  <si>
    <t xml:space="preserve">Bhawna, Product Owner</t>
  </si>
  <si>
    <t xml:space="preserve">Purpose</t>
  </si>
  <si>
    <t xml:space="preserve">Records what market and internal discovery showed, the gap it revealed, and the product decision taken or proposed, with sources and links to the roadmap, KPIs and wireframes.</t>
  </si>
  <si>
    <t xml:space="preserve">Project type</t>
  </si>
  <si>
    <t xml:space="preserve">Simulation / portfolio project prepared to demonstrate Product Owner practice. Not an actual client system. External sources were accessed on 11 September 2026; vendor blogs may be promotional.</t>
  </si>
  <si>
    <t xml:space="preserve">Summary</t>
  </si>
  <si>
    <t xml:space="preserve">Decision status</t>
  </si>
  <si>
    <t xml:space="preserve">Count</t>
  </si>
  <si>
    <t xml:space="preserve">Horizon</t>
  </si>
  <si>
    <t xml:space="preserve">Approved</t>
  </si>
  <si>
    <t xml:space="preserve">MVP</t>
  </si>
  <si>
    <t xml:space="preserve">Approved with conditions</t>
  </si>
  <si>
    <t xml:space="preserve">Next</t>
  </si>
  <si>
    <t xml:space="preserve">Pending decision</t>
  </si>
  <si>
    <t xml:space="preserve">Later</t>
  </si>
  <si>
    <t xml:space="preserve">Proposed</t>
  </si>
  <si>
    <t xml:space="preserve">Needs evidence</t>
  </si>
  <si>
    <t xml:space="preserve">Total decisions</t>
  </si>
  <si>
    <t xml:space="preserve">Status values</t>
  </si>
  <si>
    <t xml:space="preserve">Decided and in the plan.</t>
  </si>
  <si>
    <t xml:space="preserve">Decided, with conditions that must be met (see Next step).</t>
  </si>
  <si>
    <t xml:space="preserve">Waiting on a named decision, usually a change request.</t>
  </si>
  <si>
    <t xml:space="preserve">Recommended by discovery but not yet approved or funded.</t>
  </si>
  <si>
    <t xml:space="preserve">Hypothesis without enough evidence to decide.</t>
  </si>
  <si>
    <t xml:space="preserve">Discovery &amp; Decisions</t>
  </si>
  <si>
    <t xml:space="preserve">Merchant Payment Operations &amp; Dispute Hub · Simulation project · Evidence cites the Sources tab</t>
  </si>
  <si>
    <t xml:space="preserve">ID</t>
  </si>
  <si>
    <t xml:space="preserve">Theme</t>
  </si>
  <si>
    <t xml:space="preserve">What we discovered</t>
  </si>
  <si>
    <t xml:space="preserve">Evidence</t>
  </si>
  <si>
    <t xml:space="preserve">Sources</t>
  </si>
  <si>
    <t xml:space="preserve">Gap or implication</t>
  </si>
  <si>
    <t xml:space="preserve">Product decision</t>
  </si>
  <si>
    <t xml:space="preserve">Decision owner</t>
  </si>
  <si>
    <t xml:space="preserve">Decision date or due</t>
  </si>
  <si>
    <t xml:space="preserve">Linked items</t>
  </si>
  <si>
    <t xml:space="preserve">Next step</t>
  </si>
  <si>
    <t xml:space="preserve">DSC-01</t>
  </si>
  <si>
    <t xml:space="preserve">Workflow</t>
  </si>
  <si>
    <t xml:space="preserve">Disputes need one action-oriented workspace</t>
  </si>
  <si>
    <t xml:space="preserve">Amex's online Disputes tool shows all inquiries and chargebacks at once, with those needing a response first. Adyen's Customer Area lists disputes with days left to defend and the latest event. Razorpay lets merchants view, accept and contest disputes from one dashboard.</t>
  </si>
  <si>
    <t xml:space="preserve">SRC-01, SRC-07, SRC-11</t>
  </si>
  <si>
    <t xml:space="preserve">Email and spreadsheets split ownership and hide what needs action.</t>
  </si>
  <si>
    <t xml:space="preserve">Build a single Merchant Dispute Hub inbox and dispute detail</t>
  </si>
  <si>
    <t xml:space="preserve">Business Sponsor</t>
  </si>
  <si>
    <t xml:space="preserve">EP-02, US-006, US-009, BR-01, S01, S02</t>
  </si>
  <si>
    <t xml:space="preserve">Delivered in Sprints 2–3; validate in pilot</t>
  </si>
  <si>
    <t xml:space="preserve">DSC-02</t>
  </si>
  <si>
    <t xml:space="preserve">Deadline visibility decides outcomes</t>
  </si>
  <si>
    <t xml:space="preserve">Adyen shows days left to defend in its dispute list. Amex requires a response by the reply-by date, or a chargeback is issued.</t>
  </si>
  <si>
    <t xml:space="preserve">SRC-02, SRC-07</t>
  </si>
  <si>
    <t xml:space="preserve">A status alone doesn't tell merchants what is due and when.</t>
  </si>
  <si>
    <t xml:space="preserve">Deadline-first inbox, countdown highlighting and reminders at 5 and 2 days</t>
  </si>
  <si>
    <t xml:space="preserve">US-011, US-025, KPI-03, KPI-04, S01, S02</t>
  </si>
  <si>
    <t xml:space="preserve">US-011 in progress; US-025 in Sprint 6</t>
  </si>
  <si>
    <t xml:space="preserve">DSC-03</t>
  </si>
  <si>
    <t xml:space="preserve">Evidence submission should be guided</t>
  </si>
  <si>
    <t xml:space="preserve">Amex shows a list of acceptable supporting documents for most cases. Razorpay asks merchants to pick an evidence type for each document.</t>
  </si>
  <si>
    <t xml:space="preserve">SRC-06, SRC-11</t>
  </si>
  <si>
    <t xml:space="preserve">Generic file upload produces incomplete evidence.</t>
  </si>
  <si>
    <t xml:space="preserve">Reason-code evidence checklist, file validation and plain-language reasons</t>
  </si>
  <si>
    <t xml:space="preserve">Product Owner</t>
  </si>
  <si>
    <t xml:space="preserve">US-007, US-012, CR-02, BR-03, BR-21, S02, S03</t>
  </si>
  <si>
    <t xml:space="preserve">Design sign-off pending (I-03)</t>
  </si>
  <si>
    <t xml:space="preserve">DSC-04</t>
  </si>
  <si>
    <t xml:space="preserve">Trust and data</t>
  </si>
  <si>
    <t xml:space="preserve">Status alone doesn't create trust</t>
  </si>
  <si>
    <t xml:space="preserve">Adyen and Razorpay send webhook or email updates when dispute status changes.</t>
  </si>
  <si>
    <t xml:space="preserve">SRC-07, SRC-12</t>
  </si>
  <si>
    <t xml:space="preserve">Merchants, Ops and Finance can read statuses differently, and stale data causes missed deadlines.</t>
  </si>
  <si>
    <t xml:space="preserve">Canonical status model, last-synced timestamp, feed-freshness alerts and reconciliation</t>
  </si>
  <si>
    <t xml:space="preserve">Tech Lead</t>
  </si>
  <si>
    <t xml:space="preserve">US-010, US-020, US-023, DEF-03, KPI-12, KPI-13</t>
  </si>
  <si>
    <t xml:space="preserve">Fix DEF-03 mapping defect in Sprint 4</t>
  </si>
  <si>
    <t xml:space="preserve">DSC-05</t>
  </si>
  <si>
    <t xml:space="preserve">Email should notify, not carry the workflow</t>
  </si>
  <si>
    <t xml:space="preserve">Amex moves disputes out of letters into one online place with email notifications. Razorpay sends email notifications and takes responses through its dashboard and API.</t>
  </si>
  <si>
    <t xml:space="preserve">SRC-01, SRC-03, SRC-12</t>
  </si>
  <si>
    <t xml:space="preserve">Email-led handling keeps Ops cost high and evidence uncontrolled.</t>
  </si>
  <si>
    <t xml:space="preserve">Portal is the system of action; email only notifies; retire email intake wave by wave</t>
  </si>
  <si>
    <t xml:space="preserve">Dispute Ops Lead</t>
  </si>
  <si>
    <t xml:space="preserve">IR-12, RM-19, KPI-05, KPI-06</t>
  </si>
  <si>
    <t xml:space="preserve">Retirement steps in Post-Launch Plan (BAU Transition)</t>
  </si>
  <si>
    <t xml:space="preserve">DSC-06</t>
  </si>
  <si>
    <t xml:space="preserve">Market</t>
  </si>
  <si>
    <t xml:space="preserve">A disputes portal is table stakes, including at Amex</t>
  </si>
  <si>
    <t xml:space="preserve">Amex already offers online dispute responses, document upload (up to 20 pages and 5 files per case), email notifications and downloadable reports.</t>
  </si>
  <si>
    <t xml:space="preserve">SRC-01, SRC-03, SRC-04</t>
  </si>
  <si>
    <t xml:space="preserve">A portal alone won't differentiate, especially for an Amex audience.</t>
  </si>
  <si>
    <t xml:space="preserve">Position the hub as network-agnostic, with prevention and explainable AI on top of the core portal; use Amex terms (Card Member, inquiry, reply-by date)</t>
  </si>
  <si>
    <t xml:space="preserve">Executive Review deck, PRD section 16.4</t>
  </si>
  <si>
    <t xml:space="preserve">Reflect in interview narrative and executive deck</t>
  </si>
  <si>
    <t xml:space="preserve">DSC-07</t>
  </si>
  <si>
    <t xml:space="preserve">AI</t>
  </si>
  <si>
    <t xml:space="preserve">Evidence preparation is being automated</t>
  </si>
  <si>
    <t xml:space="preserve">Stripe Smart Disputes builds evidence packets and submits them automatically before the deadline if the merchant doesn't act. Visa's representment tool uses generative AI and win-prediction scoring.</t>
  </si>
  <si>
    <t xml:space="preserve">SRC-08, SRC-13</t>
  </si>
  <si>
    <t xml:space="preserve">Manual evidence gathering is slow and often incomplete.</t>
  </si>
  <si>
    <t xml:space="preserve">AI evidence copilot drafting packets from connected source systems</t>
  </si>
  <si>
    <t xml:space="preserve">Steering Committee</t>
  </si>
  <si>
    <t xml:space="preserve">RM-26, KPI-20, S10</t>
  </si>
  <si>
    <t xml:space="preserve">Discovery and business case before the Phase 2 funding decision (MS-09)</t>
  </si>
  <si>
    <t xml:space="preserve">DSC-08</t>
  </si>
  <si>
    <t xml:space="preserve">AI in disputes needs data and human guardrails</t>
  </si>
  <si>
    <t xml:space="preserve">Stripe states merchants remain responsible for the accuracy of packet data. Much winning evidence sits in carriers, CRMs and helpdesks rather than the payment platform.</t>
  </si>
  <si>
    <t xml:space="preserve">SRC-08, SRC-18</t>
  </si>
  <si>
    <t xml:space="preserve">Unverified AI-generated content creates accuracy, compliance and trust risk.</t>
  </si>
  <si>
    <t xml:space="preserve">AI uses only real source records, shows every source, and requires human review above a set amount</t>
  </si>
  <si>
    <t xml:space="preserve">Compliance Lead</t>
  </si>
  <si>
    <t xml:space="preserve">RM-26, S10, MS-11</t>
  </si>
  <si>
    <t xml:space="preserve">AI copilot model risk review (MS-11)</t>
  </si>
  <si>
    <t xml:space="preserve">DSC-09</t>
  </si>
  <si>
    <t xml:space="preserve">Prevention</t>
  </si>
  <si>
    <t xml:space="preserve">The best intervention happens before a chargeback</t>
  </si>
  <si>
    <t xml:space="preserve">Amex Accelerated Dispute Resolution sends a Dispute Alert with up to 8 calendar days to respond before normal disputes processing (US merchant IDs, non-fraud). Stripe resolution rules can refund eligible disputes automatically.</t>
  </si>
  <si>
    <t xml:space="preserve">SRC-05, SRC-09, SRC-10</t>
  </si>
  <si>
    <t xml:space="preserve">Fighting every dispute after it becomes a chargeback is costly and reactive.</t>
  </si>
  <si>
    <t xml:space="preserve">Pre-dispute alerts with early refund and order-detail recommendations</t>
  </si>
  <si>
    <t xml:space="preserve">RM-25, KPI-19, S09</t>
  </si>
  <si>
    <t xml:space="preserve">Confirm alert programs and per-alert costs with the acquirer</t>
  </si>
  <si>
    <t xml:space="preserve">DSC-10</t>
  </si>
  <si>
    <t xml:space="preserve">Dispute ratio is a business-health signal</t>
  </si>
  <si>
    <t xml:space="preserve">Card networks penalize merchants whose dispute ratios cross monitoring thresholds. One in five merchants say Visa's VAMP changes affected them, and only 26.8% monitor TC40 fraud records. Amex runs its own chargeback and fraud monitoring programs.</t>
  </si>
  <si>
    <t xml:space="preserve">SRC-15, SRC-17, SRC-20</t>
  </si>
  <si>
    <t xml:space="preserve">Merchants discover threshold risk too late.</t>
  </si>
  <si>
    <t xml:space="preserve">Dispute ratio health view with alerts at 60% and 80% of thresholds</t>
  </si>
  <si>
    <t xml:space="preserve">Merchant Relationship Lead</t>
  </si>
  <si>
    <t xml:space="preserve">RM-28, KPI-21, S11</t>
  </si>
  <si>
    <t xml:space="preserve">Confirm ratio data source and current thresholds with the acquirer</t>
  </si>
  <si>
    <t xml:space="preserve">DSC-11</t>
  </si>
  <si>
    <t xml:space="preserve">Dispute data can reveal root causes</t>
  </si>
  <si>
    <t xml:space="preserve">Alert data shows which products, price points and traffic sources generate disputes fastest, and belongs in screening decisions rather than static reports.</t>
  </si>
  <si>
    <t xml:space="preserve">SRC-19</t>
  </si>
  <si>
    <t xml:space="preserve">Reporting what happened doesn't prevent it happening again.</t>
  </si>
  <si>
    <t xml:space="preserve">Root-cause insights by product, billing name and channel, with recommended fixes</t>
  </si>
  <si>
    <t xml:space="preserve">RM-29, S12</t>
  </si>
  <si>
    <t xml:space="preserve">Revisit at 2028 roadmap planning (MS-13)</t>
  </si>
  <si>
    <t xml:space="preserve">DSC-12</t>
  </si>
  <si>
    <t xml:space="preserve">Finance and Ops need one outcome definition</t>
  </si>
  <si>
    <t xml:space="preserve">Finance and Ops calculate win rate differently on the same disputes (40% vs 62.5% in the worked example).</t>
  </si>
  <si>
    <t xml:space="preserve">SRC-21</t>
  </si>
  <si>
    <t xml:space="preserve">Leadership receives numbers the teams don't agree on.</t>
  </si>
  <si>
    <t xml:space="preserve">Report Won, Partially won and Lost separately, with value recovery as the North Star (CR-05 Option C)</t>
  </si>
  <si>
    <t xml:space="preserve">CR-05, I-05, KPI-01, KPI-02, US-032</t>
  </si>
  <si>
    <t xml:space="preserve">Decision meeting 17 Sep; update KPI definitions after</t>
  </si>
  <si>
    <t xml:space="preserve">DSC-13</t>
  </si>
  <si>
    <t xml:space="preserve">Security</t>
  </si>
  <si>
    <t xml:space="preserve">Security is part of the product</t>
  </si>
  <si>
    <t xml:space="preserve">Card numbers appear in emailed evidence today, expanding PCI DSS exposure.</t>
  </si>
  <si>
    <t xml:space="preserve">Email attachments create uncontrolled evidence handling.</t>
  </si>
  <si>
    <t xml:space="preserve">Secure upload with card-number redaction, quarantine and InfoSec validation</t>
  </si>
  <si>
    <t xml:space="preserve">CR-03, R-02, US-013, US-014, BR-04, CTL-01</t>
  </si>
  <si>
    <t xml:space="preserve">InfoSec validation before UAT sign-off (LR-03)</t>
  </si>
  <si>
    <t xml:space="preserve">DSC-14</t>
  </si>
  <si>
    <t xml:space="preserve">Friendly fraud can now be fought with transaction history</t>
  </si>
  <si>
    <t xml:space="preserve">Visa Compelling Evidence 3.0 and Mastercard First-Party Trust let merchants overturn fraud claims with earlier undisputed purchases sharing identifiers. Visa enabled CE 3.0 inside Order Insight from 1 April 2026. 83.4% of enterprise merchants saw friendly fraud rise over three years.</t>
  </si>
  <si>
    <t xml:space="preserve">SRC-13, SRC-14, SRC-15</t>
  </si>
  <si>
    <t xml:space="preserve">Merchants lose disputes they could win because the matching history isn't assembled.</t>
  </si>
  <si>
    <t xml:space="preserve">Automate friendly fraud evidence matching inside the AI copilot</t>
  </si>
  <si>
    <t xml:space="preserve">RM-27, S10</t>
  </si>
  <si>
    <t xml:space="preserve">Confirm network eligibility rules; Amex follows its own process</t>
  </si>
  <si>
    <t xml:space="preserve">DSC-15</t>
  </si>
  <si>
    <t xml:space="preserve">AI shopping agents change what evidence exists</t>
  </si>
  <si>
    <t xml:space="preserve">When an AI agent buys, the usual click and device trail largely disappears. Visa agent tokens and Mastercard Agent Pay aim to create agent-specific records but are still maturing. Monitoring thresholds don't change for agent purchases.</t>
  </si>
  <si>
    <t xml:space="preserve">SRC-16, SRC-17</t>
  </si>
  <si>
    <t xml:space="preserve">Merchants may be unable to defend agent purchases, and ratios can spike.</t>
  </si>
  <si>
    <t xml:space="preserve">Capture agent authorization records and track agent-initiated disputes as their own channel</t>
  </si>
  <si>
    <t xml:space="preserve">RM-30, S13, S11</t>
  </si>
  <si>
    <t xml:space="preserve">Track standards; revisit at 2028 roadmap planning (MS-13)</t>
  </si>
  <si>
    <t xml:space="preserve">All external sources accessed 11 September 2026. Check vendor blogs against official documentation before relying on them.</t>
  </si>
  <si>
    <t xml:space="preserve">Publisher</t>
  </si>
  <si>
    <t xml:space="preserve">Title</t>
  </si>
  <si>
    <t xml:space="preserve">URL</t>
  </si>
  <si>
    <t xml:space="preserve">Source type</t>
  </si>
  <si>
    <t xml:space="preserve">Published</t>
  </si>
  <si>
    <t xml:space="preserve">Used by</t>
  </si>
  <si>
    <t xml:space="preserve">SRC-01</t>
  </si>
  <si>
    <t xml:space="preserve">American Express</t>
  </si>
  <si>
    <t xml:space="preserve">Disputes Support Center for Merchants (US)</t>
  </si>
  <si>
    <t xml:space="preserve">https://www.americanexpress.com/us/merchant/support-center/disputes.html</t>
  </si>
  <si>
    <t xml:space="preserve">Official product help</t>
  </si>
  <si>
    <t xml:space="preserve">Not stated</t>
  </si>
  <si>
    <t xml:space="preserve">DSC-01, DSC-05, DSC-06</t>
  </si>
  <si>
    <t xml:space="preserve">SRC-02</t>
  </si>
  <si>
    <t xml:space="preserve">Managing a Dispute Case</t>
  </si>
  <si>
    <t xml:space="preserve">https://www.americanexpress.com/us/merchant/support-center/disputes/managing-a-disputes-case.html</t>
  </si>
  <si>
    <t xml:space="preserve">SRC-03</t>
  </si>
  <si>
    <t xml:space="preserve">Why Manage Disputes Online (US)</t>
  </si>
  <si>
    <t xml:space="preserve">https://www.americanexpress.com/us/merchant/support-center/disputes/why-manage-disputes-online.html</t>
  </si>
  <si>
    <t xml:space="preserve">DSC-05, DSC-06</t>
  </si>
  <si>
    <t xml:space="preserve">SRC-04</t>
  </si>
  <si>
    <t xml:space="preserve">Adding Documents to a Case</t>
  </si>
  <si>
    <t xml:space="preserve">https://www.americanexpress.com/us/merchant/support-center/disputes/adding-documents-to-a-case.html</t>
  </si>
  <si>
    <t xml:space="preserve">SRC-05</t>
  </si>
  <si>
    <t xml:space="preserve">Logging In and Enrolling in Disputes (Accelerated Dispute Resolution)</t>
  </si>
  <si>
    <t xml:space="preserve">https://www.americanexpress.com/us/merchant/support-center/disputes/logging-in-and-enrolling.html</t>
  </si>
  <si>
    <t xml:space="preserve">SRC-06</t>
  </si>
  <si>
    <t xml:space="preserve">Merchant Website Support Centre (accepted supporting documents)</t>
  </si>
  <si>
    <t xml:space="preserve">https://www.americanexpress.com/ac/merchant/support-centre.html</t>
  </si>
  <si>
    <t xml:space="preserve">SRC-07</t>
  </si>
  <si>
    <t xml:space="preserve">Adyen</t>
  </si>
  <si>
    <t xml:space="preserve">How can I get chargeback/disputes notifications and updates?</t>
  </si>
  <si>
    <t xml:space="preserve">https://help.adyen.com/en_US/knowledge/risk/dispute-management/how-can-i-get-chargeback-disputes-webhooks-and-updates</t>
  </si>
  <si>
    <t xml:space="preserve">DSC-01, DSC-02, DSC-04</t>
  </si>
  <si>
    <t xml:space="preserve">SRC-08</t>
  </si>
  <si>
    <t xml:space="preserve">Stripe</t>
  </si>
  <si>
    <t xml:space="preserve">Smart Disputes (documentation)</t>
  </si>
  <si>
    <t xml:space="preserve">https://docs.stripe.com/disputes/smart-disputes</t>
  </si>
  <si>
    <t xml:space="preserve">Official product docs</t>
  </si>
  <si>
    <t xml:space="preserve">DSC-07, DSC-08</t>
  </si>
  <si>
    <t xml:space="preserve">SRC-09</t>
  </si>
  <si>
    <t xml:space="preserve">Dispute prevention (documentation)</t>
  </si>
  <si>
    <t xml:space="preserve">https://docs.stripe.com/disputes/prevention-preview</t>
  </si>
  <si>
    <t xml:space="preserve">DSC-09, DSC-14</t>
  </si>
  <si>
    <t xml:space="preserve">SRC-10</t>
  </si>
  <si>
    <t xml:space="preserve">Introduction to payment disputes (guide)</t>
  </si>
  <si>
    <t xml:space="preserve">https://stripe.com/guides/introduction-to-payment-disputes</t>
  </si>
  <si>
    <t xml:space="preserve">Official guide</t>
  </si>
  <si>
    <t xml:space="preserve">SRC-11</t>
  </si>
  <si>
    <t xml:space="preserve">Razorpay</t>
  </si>
  <si>
    <t xml:space="preserve">Disputes: Dashboard Actions</t>
  </si>
  <si>
    <t xml:space="preserve">https://razorpay.com/docs/payments/disputes/dashboard/?preferred-country=US</t>
  </si>
  <si>
    <t xml:space="preserve">DSC-01, DSC-03</t>
  </si>
  <si>
    <t xml:space="preserve">SRC-12</t>
  </si>
  <si>
    <t xml:space="preserve">About Disputes</t>
  </si>
  <si>
    <t xml:space="preserve">https://razorpay.com/docs/payments/disputes/</t>
  </si>
  <si>
    <t xml:space="preserve">DSC-04, DSC-05</t>
  </si>
  <si>
    <t xml:space="preserve">SRC-13</t>
  </si>
  <si>
    <t xml:space="preserve">Digital Commerce 360</t>
  </si>
  <si>
    <t xml:space="preserve">Visa adds AI tools for dispute resolution</t>
  </si>
  <si>
    <t xml:space="preserve">https://www.digitalcommerce360.com/2026/04/01/visa-adds-ai-tools-for-dispute-resolution/</t>
  </si>
  <si>
    <t xml:space="preserve">Industry news</t>
  </si>
  <si>
    <t xml:space="preserve">DSC-07, DSC-14</t>
  </si>
  <si>
    <t xml:space="preserve">SRC-14</t>
  </si>
  <si>
    <t xml:space="preserve">The Paypers</t>
  </si>
  <si>
    <t xml:space="preserve">Chargebacks: issuer fraud verdicts and the impact of agentic commerce</t>
  </si>
  <si>
    <t xml:space="preserve">https://thepaypers.com/fraud-and-fincrime/expert-views/chargebacks-issuer-fraud-verdicts-and-the-impact-of-agentic-commerce</t>
  </si>
  <si>
    <t xml:space="preserve">Industry expert view</t>
  </si>
  <si>
    <t xml:space="preserve">SRC-15</t>
  </si>
  <si>
    <t xml:space="preserve">Chargebacks911</t>
  </si>
  <si>
    <t xml:space="preserve">2026 Chargeback Field Report</t>
  </si>
  <si>
    <t xml:space="preserve">https://chargebacks911.com/chargeback-field-report/</t>
  </si>
  <si>
    <t xml:space="preserve">Vendor research</t>
  </si>
  <si>
    <t xml:space="preserve">DSC-10, DSC-14</t>
  </si>
  <si>
    <t xml:space="preserve">SRC-16</t>
  </si>
  <si>
    <t xml:space="preserve">Justt</t>
  </si>
  <si>
    <t xml:space="preserve">Agentic Commerce Chargebacks and the Evidence Gap</t>
  </si>
  <si>
    <t xml:space="preserve">https://justt.ai/blog/solving-agentic-commerce-chargebacks/</t>
  </si>
  <si>
    <t xml:space="preserve">Vendor blog</t>
  </si>
  <si>
    <t xml:space="preserve">SRC-17</t>
  </si>
  <si>
    <t xml:space="preserve">Chargeflow</t>
  </si>
  <si>
    <t xml:space="preserve">AI Agent Chargeback Liability</t>
  </si>
  <si>
    <t xml:space="preserve">https://www.chargeflow.io/blog/ai-agent-chargeback-liability</t>
  </si>
  <si>
    <t xml:space="preserve">DSC-10, DSC-15</t>
  </si>
  <si>
    <t xml:space="preserve">SRC-18</t>
  </si>
  <si>
    <t xml:space="preserve">What Stripe Smart Disputes covers and what it doesn't</t>
  </si>
  <si>
    <t xml:space="preserve">https://www.chargeflow.io/blog/what-stripe-smart-disputes-covers-and-what-it-doesnt</t>
  </si>
  <si>
    <t xml:space="preserve">Vendor blog (competitor of Stripe)</t>
  </si>
  <si>
    <t xml:space="preserve">Wyllo</t>
  </si>
  <si>
    <t xml:space="preserve">Chargeback Prevention in Ecommerce: 2026 Guide</t>
  </si>
  <si>
    <t xml:space="preserve">https://wyllo.ai/chargeback-prevention-ecommerce-2026/</t>
  </si>
  <si>
    <t xml:space="preserve">SRC-20</t>
  </si>
  <si>
    <t xml:space="preserve">chargeback.io</t>
  </si>
  <si>
    <t xml:space="preserve">How to Win an American Express Dispute</t>
  </si>
  <si>
    <t xml:space="preserve">https://www.chargeback.io/blog/how-to-win-an-american-express-dispute</t>
  </si>
  <si>
    <t xml:space="preserve">Internal</t>
  </si>
  <si>
    <t xml:space="preserve">RAID Log and Change Log (simulation project)</t>
  </si>
  <si>
    <t xml:space="preserve">Internal project record</t>
  </si>
  <si>
    <t xml:space="preserve">DSC-12, DSC-13</t>
  </si>
  <si>
    <t xml:space="preserve">Change Notes: version 1 to version 2</t>
  </si>
  <si>
    <t xml:space="preserve">Type</t>
  </si>
  <si>
    <t xml:space="preserve">Change</t>
  </si>
  <si>
    <t xml:space="preserve">Why</t>
  </si>
  <si>
    <t xml:space="preserve">Structure</t>
  </si>
  <si>
    <t xml:space="preserve">Renamed Sheet1 and added Cover, Sources and this Change Notes tab.</t>
  </si>
  <si>
    <t xml:space="preserve">Makes the log shareable and auditable.</t>
  </si>
  <si>
    <t xml:space="preserve">Added IDs (DSC-), themes, decision status, owner, date, horizon, linked items and next step to every row.</t>
  </si>
  <si>
    <t xml:space="preserve">A decision log needs to show who decided what, when, and what it affects.</t>
  </si>
  <si>
    <t xml:space="preserve">Every evidence statement now cites a source ID with URL, type and published date where known.</t>
  </si>
  <si>
    <t xml:space="preserve">Claims can be checked; vendor blogs are labelled as such.</t>
  </si>
  <si>
    <t xml:space="preserve">Status</t>
  </si>
  <si>
    <t xml:space="preserve">Outcome framework marked Pending decision (CR-05). AI copilot, pre-dispute alerts, ratio health, root-cause insights, friendly fraud automation and agent readiness marked Proposed.</t>
  </si>
  <si>
    <t xml:space="preserve">They weren't approved anywhere; the original log presented them as decided.</t>
  </si>
  <si>
    <t xml:space="preserve">Added</t>
  </si>
  <si>
    <t xml:space="preserve">DSC-06 (Amex already offers online disputes), DSC-14 (friendly fraud evidence rules) and DSC-15 (AI shopping agents). Amex ADR and Razorpay evidence added to existing rows.</t>
  </si>
  <si>
    <t xml:space="preserve">Covers the most relevant market evidence for an Amex audience.</t>
  </si>
  <si>
    <t xml:space="preserve">Removed</t>
  </si>
  <si>
    <t xml:space="preserve">Claim that Adyen moved UPI dispute handling into its Customer Area, and the Mastercard end-to-end dispute management positioning.</t>
  </si>
  <si>
    <t xml:space="preserve">No source could be found; re-add only with a verifiable source.</t>
  </si>
  <si>
    <t xml:space="preserve">Linked</t>
  </si>
  <si>
    <t xml:space="preserve">Decisions now link to roadmap initiatives RM-25 to RM-30, KPI-19 to KPI-21 and wireframes S01 to S13.</t>
  </si>
  <si>
    <t xml:space="preserve">Keeps the log consistent with the roadmap, PRD, KPI catalog and wireframes.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</si>
</sst>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2"/>
      <color rgb="FF1F3A5F"/>
      <name val="Arial"/>
      <family val="0"/>
      <charset val="1"/>
    </font>
    <font>
      <b val="true"/>
      <sz val="14"/>
      <color rgb="FF2E7D8C"/>
      <name val="Arial"/>
      <family val="0"/>
      <charset val="1"/>
    </font>
    <font>
      <b val="true"/>
      <sz val="10"/>
      <color rgb="FF1F3A5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9C0006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6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5F"/>
        <bgColor rgb="FF1F4E78"/>
      </patternFill>
    </fill>
    <fill>
      <patternFill patternType="solid">
        <fgColor rgb="FFD9D9D9"/>
        <bgColor rgb="FFDD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center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6">
    <dxf>
      <fill>
        <patternFill patternType="solid">
          <fgColor rgb="FF1F3A5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1F4E78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595959"/>
          <bgColor rgb="FF000000"/>
        </patternFill>
      </fill>
    </dxf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1F4E78"/>
        <sz val="10"/>
      </font>
      <fill>
        <patternFill>
          <bgColor rgb="FFDDEBF7"/>
        </patternFill>
      </fill>
    </dxf>
    <dxf>
      <font>
        <name val="Arial"/>
        <charset val="1"/>
        <family val="0"/>
        <b val="1"/>
        <color rgb="FF595959"/>
        <sz val="10"/>
      </font>
      <fill>
        <patternFill>
          <bgColor rgb="FFEDEDED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EDEDED"/>
      <rgbColor rgb="FFDDEBF7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2E7D8C"/>
      <rgbColor rgb="FF003300"/>
      <rgbColor rgb="FF333300"/>
      <rgbColor rgb="FF9C57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hyperlink" Target="https://www.americanexpress.com/us/merchant/support-center/disputes.html" TargetMode="External"/><Relationship Id="rId2" Type="http://schemas.openxmlformats.org/officeDocument/2006/relationships/hyperlink" Target="https://www.americanexpress.com/us/merchant/support-center/disputes/managing-a-disputes-case.html" TargetMode="External"/><Relationship Id="rId3" Type="http://schemas.openxmlformats.org/officeDocument/2006/relationships/hyperlink" Target="https://www.americanexpress.com/us/merchant/support-center/disputes/why-manage-disputes-online.html" TargetMode="External"/><Relationship Id="rId4" Type="http://schemas.openxmlformats.org/officeDocument/2006/relationships/hyperlink" Target="https://www.americanexpress.com/us/merchant/support-center/disputes/adding-documents-to-a-case.html" TargetMode="External"/><Relationship Id="rId5" Type="http://schemas.openxmlformats.org/officeDocument/2006/relationships/hyperlink" Target="https://www.americanexpress.com/us/merchant/support-center/disputes/logging-in-and-enrolling.html" TargetMode="External"/><Relationship Id="rId6" Type="http://schemas.openxmlformats.org/officeDocument/2006/relationships/hyperlink" Target="https://www.americanexpress.com/ac/merchant/support-centre.html" TargetMode="External"/><Relationship Id="rId7" Type="http://schemas.openxmlformats.org/officeDocument/2006/relationships/hyperlink" Target="https://help.adyen.com/en_US/knowledge/risk/dispute-management/how-can-i-get-chargeback-disputes-webhooks-and-updates" TargetMode="External"/><Relationship Id="rId8" Type="http://schemas.openxmlformats.org/officeDocument/2006/relationships/hyperlink" Target="https://docs.stripe.com/disputes/smart-disputes" TargetMode="External"/><Relationship Id="rId9" Type="http://schemas.openxmlformats.org/officeDocument/2006/relationships/hyperlink" Target="https://docs.stripe.com/disputes/prevention-preview" TargetMode="External"/><Relationship Id="rId10" Type="http://schemas.openxmlformats.org/officeDocument/2006/relationships/hyperlink" Target="https://stripe.com/guides/introduction-to-payment-disputes" TargetMode="External"/><Relationship Id="rId11" Type="http://schemas.openxmlformats.org/officeDocument/2006/relationships/hyperlink" Target="https://razorpay.com/docs/payments/disputes/dashboard/?preferred-country=US" TargetMode="External"/><Relationship Id="rId12" Type="http://schemas.openxmlformats.org/officeDocument/2006/relationships/hyperlink" Target="https://razorpay.com/docs/payments/disputes/" TargetMode="External"/><Relationship Id="rId13" Type="http://schemas.openxmlformats.org/officeDocument/2006/relationships/hyperlink" Target="https://www.digitalcommerce360.com/2026/04/01/visa-adds-ai-tools-for-dispute-resolution/" TargetMode="External"/><Relationship Id="rId14" Type="http://schemas.openxmlformats.org/officeDocument/2006/relationships/hyperlink" Target="https://thepaypers.com/fraud-and-fincrime/expert-views/chargebacks-issuer-fraud-verdicts-and-the-impact-of-agentic-commerce" TargetMode="External"/><Relationship Id="rId15" Type="http://schemas.openxmlformats.org/officeDocument/2006/relationships/hyperlink" Target="https://chargebacks911.com/chargeback-field-report/" TargetMode="External"/><Relationship Id="rId16" Type="http://schemas.openxmlformats.org/officeDocument/2006/relationships/hyperlink" Target="https://justt.ai/blog/solving-agentic-commerce-chargebacks/" TargetMode="External"/><Relationship Id="rId17" Type="http://schemas.openxmlformats.org/officeDocument/2006/relationships/hyperlink" Target="https://www.chargeflow.io/blog/ai-agent-chargeback-liability" TargetMode="External"/><Relationship Id="rId18" Type="http://schemas.openxmlformats.org/officeDocument/2006/relationships/hyperlink" Target="https://www.chargeflow.io/blog/what-stripe-smart-disputes-covers-and-what-it-doesnt" TargetMode="External"/><Relationship Id="rId19" Type="http://schemas.openxmlformats.org/officeDocument/2006/relationships/hyperlink" Target="https://wyllo.ai/chargeback-prevention-ecommerce-2026/" TargetMode="External"/><Relationship Id="rId20" Type="http://schemas.openxmlformats.org/officeDocument/2006/relationships/hyperlink" Target="https://www.chargeback.io/blog/how-to-win-an-american-express-disput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G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7" min="3" style="0" width="18"/>
  </cols>
  <sheetData>
    <row r="2" customFormat="false" ht="26.8" hidden="false" customHeight="false" outlineLevel="0" collapsed="false">
      <c r="B2" s="1" t="s">
        <v>0</v>
      </c>
    </row>
    <row r="3" customFormat="false" ht="17.35" hidden="false" customHeight="false" outlineLevel="0" collapsed="false">
      <c r="B3" s="2" t="s">
        <v>1</v>
      </c>
    </row>
    <row r="5" customFormat="false" ht="19.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9.5" hidden="false" customHeight="true" outlineLevel="0" collapsed="false">
      <c r="B6" s="3" t="s">
        <v>4</v>
      </c>
      <c r="C6" s="5" t="n">
        <v>46276</v>
      </c>
      <c r="D6" s="5"/>
      <c r="E6" s="5"/>
      <c r="F6" s="5"/>
      <c r="G6" s="5"/>
    </row>
    <row r="7" customFormat="false" ht="19.5" hidden="false" customHeight="true" outlineLevel="0" collapsed="false">
      <c r="B7" s="3" t="s">
        <v>5</v>
      </c>
      <c r="C7" s="4" t="s">
        <v>6</v>
      </c>
      <c r="D7" s="4"/>
      <c r="E7" s="4"/>
      <c r="F7" s="4"/>
      <c r="G7" s="4"/>
    </row>
    <row r="8" customFormat="false" ht="43.5" hidden="false" customHeight="true" outlineLevel="0" collapsed="false">
      <c r="B8" s="3" t="s">
        <v>7</v>
      </c>
      <c r="C8" s="4" t="s">
        <v>8</v>
      </c>
      <c r="D8" s="4"/>
      <c r="E8" s="4"/>
      <c r="F8" s="4"/>
      <c r="G8" s="4"/>
    </row>
    <row r="9" customFormat="false" ht="43.5" hidden="false" customHeight="true" outlineLevel="0" collapsed="false">
      <c r="B9" s="3" t="s">
        <v>9</v>
      </c>
      <c r="C9" s="6" t="s">
        <v>10</v>
      </c>
      <c r="D9" s="6"/>
      <c r="E9" s="6"/>
      <c r="F9" s="6"/>
      <c r="G9" s="6"/>
    </row>
    <row r="11" customFormat="false" ht="15" hidden="false" customHeight="false" outlineLevel="0" collapsed="false">
      <c r="B11" s="7" t="s">
        <v>11</v>
      </c>
      <c r="C11" s="8"/>
      <c r="D11" s="8"/>
      <c r="E11" s="8"/>
      <c r="F11" s="8"/>
      <c r="G11" s="8"/>
    </row>
    <row r="12" customFormat="false" ht="15" hidden="false" customHeight="false" outlineLevel="0" collapsed="false">
      <c r="B12" s="9" t="s">
        <v>12</v>
      </c>
      <c r="C12" s="9" t="s">
        <v>13</v>
      </c>
      <c r="E12" s="9" t="s">
        <v>14</v>
      </c>
      <c r="F12" s="9" t="s">
        <v>13</v>
      </c>
    </row>
    <row r="13" customFormat="false" ht="15" hidden="false" customHeight="false" outlineLevel="0" collapsed="false">
      <c r="B13" s="10" t="s">
        <v>15</v>
      </c>
      <c r="C13" s="11" t="n">
        <f aca="false">COUNTIFS('Discovery &amp; Decisions'!$H$5:$H$60,B13)</f>
        <v>6</v>
      </c>
      <c r="E13" s="10" t="s">
        <v>16</v>
      </c>
      <c r="F13" s="11" t="n">
        <f aca="false">COUNTIFS('Discovery &amp; Decisions'!$K$5:$K$60,E13)</f>
        <v>8</v>
      </c>
    </row>
    <row r="14" customFormat="false" ht="15" hidden="false" customHeight="false" outlineLevel="0" collapsed="false">
      <c r="B14" s="10" t="s">
        <v>17</v>
      </c>
      <c r="C14" s="11" t="n">
        <f aca="false">COUNTIFS('Discovery &amp; Decisions'!$H$5:$H$60,B14)</f>
        <v>1</v>
      </c>
      <c r="E14" s="10" t="s">
        <v>18</v>
      </c>
      <c r="F14" s="11" t="n">
        <f aca="false">COUNTIFS('Discovery &amp; Decisions'!$K$5:$K$60,E14)</f>
        <v>4</v>
      </c>
    </row>
    <row r="15" customFormat="false" ht="15" hidden="false" customHeight="false" outlineLevel="0" collapsed="false">
      <c r="B15" s="10" t="s">
        <v>19</v>
      </c>
      <c r="C15" s="11" t="n">
        <f aca="false">COUNTIFS('Discovery &amp; Decisions'!$H$5:$H$60,B15)</f>
        <v>1</v>
      </c>
      <c r="E15" s="10" t="s">
        <v>20</v>
      </c>
      <c r="F15" s="11" t="n">
        <f aca="false">COUNTIFS('Discovery &amp; Decisions'!$K$5:$K$60,E15)</f>
        <v>3</v>
      </c>
    </row>
    <row r="16" customFormat="false" ht="15" hidden="false" customHeight="false" outlineLevel="0" collapsed="false">
      <c r="B16" s="10" t="s">
        <v>21</v>
      </c>
      <c r="C16" s="11" t="n">
        <f aca="false">COUNTIFS('Discovery &amp; Decisions'!$H$5:$H$60,B16)</f>
        <v>7</v>
      </c>
    </row>
    <row r="17" customFormat="false" ht="15" hidden="false" customHeight="false" outlineLevel="0" collapsed="false">
      <c r="B17" s="10" t="s">
        <v>22</v>
      </c>
      <c r="C17" s="11" t="n">
        <f aca="false">COUNTIFS('Discovery &amp; Decisions'!$H$5:$H$60,B17)</f>
        <v>0</v>
      </c>
    </row>
    <row r="19" customFormat="false" ht="15" hidden="false" customHeight="false" outlineLevel="0" collapsed="false">
      <c r="B19" s="12" t="s">
        <v>23</v>
      </c>
      <c r="C19" s="13" t="n">
        <f aca="false">COUNTA('Discovery &amp; Decisions'!$A$5:$A$60)</f>
        <v>15</v>
      </c>
    </row>
    <row r="21" customFormat="false" ht="15" hidden="false" customHeight="false" outlineLevel="0" collapsed="false">
      <c r="B21" s="7" t="s">
        <v>24</v>
      </c>
      <c r="C21" s="8"/>
      <c r="D21" s="8"/>
      <c r="E21" s="8"/>
      <c r="F21" s="8"/>
      <c r="G21" s="8"/>
    </row>
    <row r="22" customFormat="false" ht="15" hidden="false" customHeight="false" outlineLevel="0" collapsed="false">
      <c r="B22" s="12" t="s">
        <v>15</v>
      </c>
      <c r="C22" s="14" t="s">
        <v>25</v>
      </c>
      <c r="D22" s="14"/>
      <c r="E22" s="14"/>
      <c r="F22" s="14"/>
      <c r="G22" s="14"/>
    </row>
    <row r="23" customFormat="false" ht="15" hidden="false" customHeight="false" outlineLevel="0" collapsed="false">
      <c r="B23" s="12" t="s">
        <v>17</v>
      </c>
      <c r="C23" s="14" t="s">
        <v>26</v>
      </c>
      <c r="D23" s="14"/>
      <c r="E23" s="14"/>
      <c r="F23" s="14"/>
      <c r="G23" s="14"/>
    </row>
    <row r="24" customFormat="false" ht="15" hidden="false" customHeight="false" outlineLevel="0" collapsed="false">
      <c r="B24" s="12" t="s">
        <v>19</v>
      </c>
      <c r="C24" s="14" t="s">
        <v>27</v>
      </c>
      <c r="D24" s="14"/>
      <c r="E24" s="14"/>
      <c r="F24" s="14"/>
      <c r="G24" s="14"/>
    </row>
    <row r="25" customFormat="false" ht="15" hidden="false" customHeight="false" outlineLevel="0" collapsed="false">
      <c r="B25" s="12" t="s">
        <v>21</v>
      </c>
      <c r="C25" s="14" t="s">
        <v>28</v>
      </c>
      <c r="D25" s="14"/>
      <c r="E25" s="14"/>
      <c r="F25" s="14"/>
      <c r="G25" s="14"/>
    </row>
    <row r="26" customFormat="false" ht="15" hidden="false" customHeight="false" outlineLevel="0" collapsed="false">
      <c r="B26" s="12" t="s">
        <v>22</v>
      </c>
      <c r="C26" s="14" t="s">
        <v>29</v>
      </c>
      <c r="D26" s="14"/>
      <c r="E26" s="14"/>
      <c r="F26" s="14"/>
      <c r="G26" s="14"/>
    </row>
  </sheetData>
  <mergeCells count="10">
    <mergeCell ref="C5:G5"/>
    <mergeCell ref="C6:G6"/>
    <mergeCell ref="C7:G7"/>
    <mergeCell ref="C8:G8"/>
    <mergeCell ref="C9:G9"/>
    <mergeCell ref="C22:G22"/>
    <mergeCell ref="C23:G23"/>
    <mergeCell ref="C24:G24"/>
    <mergeCell ref="C25:G25"/>
    <mergeCell ref="C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26"/>
    <col collapsed="false" customWidth="true" hidden="false" outlineLevel="0" max="4" min="4" style="0" width="48"/>
    <col collapsed="false" customWidth="true" hidden="false" outlineLevel="0" max="5" min="5" style="0" width="12"/>
    <col collapsed="false" customWidth="true" hidden="false" outlineLevel="0" max="6" min="6" style="0" width="30"/>
    <col collapsed="false" customWidth="true" hidden="false" outlineLevel="0" max="7" min="7" style="0" width="32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9"/>
    <col collapsed="false" customWidth="true" hidden="false" outlineLevel="0" max="12" min="12" style="0" width="24"/>
    <col collapsed="false" customWidth="true" hidden="false" outlineLevel="0" max="13" min="13" style="0" width="28"/>
  </cols>
  <sheetData>
    <row r="1" customFormat="false" ht="19.7" hidden="false" customHeight="false" outlineLevel="0" collapsed="false">
      <c r="A1" s="15" t="s">
        <v>30</v>
      </c>
    </row>
    <row r="2" customFormat="false" ht="15" hidden="false" customHeight="false" outlineLevel="0" collapsed="false">
      <c r="A2" s="16" t="s">
        <v>31</v>
      </c>
    </row>
    <row r="4" customFormat="false" ht="31.5" hidden="false" customHeight="true" outlineLevel="0" collapsed="false">
      <c r="A4" s="17" t="s">
        <v>32</v>
      </c>
      <c r="B4" s="17" t="s">
        <v>33</v>
      </c>
      <c r="C4" s="17" t="s">
        <v>34</v>
      </c>
      <c r="D4" s="17" t="s">
        <v>35</v>
      </c>
      <c r="E4" s="17" t="s">
        <v>36</v>
      </c>
      <c r="F4" s="17" t="s">
        <v>37</v>
      </c>
      <c r="G4" s="17" t="s">
        <v>38</v>
      </c>
      <c r="H4" s="17" t="s">
        <v>12</v>
      </c>
      <c r="I4" s="17" t="s">
        <v>39</v>
      </c>
      <c r="J4" s="17" t="s">
        <v>40</v>
      </c>
      <c r="K4" s="17" t="s">
        <v>14</v>
      </c>
      <c r="L4" s="17" t="s">
        <v>41</v>
      </c>
      <c r="M4" s="17" t="s">
        <v>42</v>
      </c>
    </row>
    <row r="5" customFormat="false" ht="70.5" hidden="false" customHeight="true" outlineLevel="0" collapsed="false">
      <c r="A5" s="11" t="s">
        <v>43</v>
      </c>
      <c r="B5" s="18" t="s">
        <v>44</v>
      </c>
      <c r="C5" s="19" t="s">
        <v>45</v>
      </c>
      <c r="D5" s="20" t="s">
        <v>46</v>
      </c>
      <c r="E5" s="18" t="s">
        <v>47</v>
      </c>
      <c r="F5" s="20" t="s">
        <v>48</v>
      </c>
      <c r="G5" s="20" t="s">
        <v>49</v>
      </c>
      <c r="H5" s="18" t="s">
        <v>15</v>
      </c>
      <c r="I5" s="20" t="s">
        <v>50</v>
      </c>
      <c r="J5" s="21" t="n">
        <v>46220</v>
      </c>
      <c r="K5" s="18" t="s">
        <v>16</v>
      </c>
      <c r="L5" s="20" t="s">
        <v>51</v>
      </c>
      <c r="M5" s="20" t="s">
        <v>52</v>
      </c>
    </row>
    <row r="6" customFormat="false" ht="45" hidden="false" customHeight="true" outlineLevel="0" collapsed="false">
      <c r="A6" s="11" t="s">
        <v>53</v>
      </c>
      <c r="B6" s="18" t="s">
        <v>44</v>
      </c>
      <c r="C6" s="19" t="s">
        <v>54</v>
      </c>
      <c r="D6" s="20" t="s">
        <v>55</v>
      </c>
      <c r="E6" s="18" t="s">
        <v>56</v>
      </c>
      <c r="F6" s="20" t="s">
        <v>57</v>
      </c>
      <c r="G6" s="20" t="s">
        <v>58</v>
      </c>
      <c r="H6" s="18" t="s">
        <v>15</v>
      </c>
      <c r="I6" s="20" t="s">
        <v>50</v>
      </c>
      <c r="J6" s="21" t="n">
        <v>46220</v>
      </c>
      <c r="K6" s="18" t="s">
        <v>16</v>
      </c>
      <c r="L6" s="20" t="s">
        <v>59</v>
      </c>
      <c r="M6" s="20" t="s">
        <v>60</v>
      </c>
    </row>
    <row r="7" customFormat="false" ht="45" hidden="false" customHeight="true" outlineLevel="0" collapsed="false">
      <c r="A7" s="11" t="s">
        <v>61</v>
      </c>
      <c r="B7" s="18" t="s">
        <v>35</v>
      </c>
      <c r="C7" s="19" t="s">
        <v>62</v>
      </c>
      <c r="D7" s="20" t="s">
        <v>63</v>
      </c>
      <c r="E7" s="18" t="s">
        <v>64</v>
      </c>
      <c r="F7" s="20" t="s">
        <v>65</v>
      </c>
      <c r="G7" s="20" t="s">
        <v>66</v>
      </c>
      <c r="H7" s="18" t="s">
        <v>15</v>
      </c>
      <c r="I7" s="20" t="s">
        <v>67</v>
      </c>
      <c r="J7" s="21" t="n">
        <v>46261</v>
      </c>
      <c r="K7" s="18" t="s">
        <v>16</v>
      </c>
      <c r="L7" s="20" t="s">
        <v>68</v>
      </c>
      <c r="M7" s="20" t="s">
        <v>69</v>
      </c>
    </row>
    <row r="8" customFormat="false" ht="45" hidden="false" customHeight="true" outlineLevel="0" collapsed="false">
      <c r="A8" s="11" t="s">
        <v>70</v>
      </c>
      <c r="B8" s="18" t="s">
        <v>71</v>
      </c>
      <c r="C8" s="19" t="s">
        <v>72</v>
      </c>
      <c r="D8" s="20" t="s">
        <v>73</v>
      </c>
      <c r="E8" s="18" t="s">
        <v>74</v>
      </c>
      <c r="F8" s="20" t="s">
        <v>75</v>
      </c>
      <c r="G8" s="20" t="s">
        <v>76</v>
      </c>
      <c r="H8" s="18" t="s">
        <v>15</v>
      </c>
      <c r="I8" s="20" t="s">
        <v>77</v>
      </c>
      <c r="J8" s="21" t="n">
        <v>46261</v>
      </c>
      <c r="K8" s="18" t="s">
        <v>16</v>
      </c>
      <c r="L8" s="20" t="s">
        <v>78</v>
      </c>
      <c r="M8" s="20" t="s">
        <v>79</v>
      </c>
    </row>
    <row r="9" customFormat="false" ht="57.75" hidden="false" customHeight="true" outlineLevel="0" collapsed="false">
      <c r="A9" s="11" t="s">
        <v>80</v>
      </c>
      <c r="B9" s="18" t="s">
        <v>44</v>
      </c>
      <c r="C9" s="19" t="s">
        <v>81</v>
      </c>
      <c r="D9" s="20" t="s">
        <v>82</v>
      </c>
      <c r="E9" s="18" t="s">
        <v>83</v>
      </c>
      <c r="F9" s="20" t="s">
        <v>84</v>
      </c>
      <c r="G9" s="20" t="s">
        <v>85</v>
      </c>
      <c r="H9" s="18" t="s">
        <v>15</v>
      </c>
      <c r="I9" s="20" t="s">
        <v>86</v>
      </c>
      <c r="J9" s="21" t="n">
        <v>46275</v>
      </c>
      <c r="K9" s="18" t="s">
        <v>16</v>
      </c>
      <c r="L9" s="20" t="s">
        <v>87</v>
      </c>
      <c r="M9" s="20" t="s">
        <v>88</v>
      </c>
    </row>
    <row r="10" customFormat="false" ht="70.5" hidden="false" customHeight="true" outlineLevel="0" collapsed="false">
      <c r="A10" s="11" t="s">
        <v>89</v>
      </c>
      <c r="B10" s="18" t="s">
        <v>90</v>
      </c>
      <c r="C10" s="19" t="s">
        <v>91</v>
      </c>
      <c r="D10" s="20" t="s">
        <v>92</v>
      </c>
      <c r="E10" s="18" t="s">
        <v>93</v>
      </c>
      <c r="F10" s="20" t="s">
        <v>94</v>
      </c>
      <c r="G10" s="20" t="s">
        <v>95</v>
      </c>
      <c r="H10" s="18" t="s">
        <v>15</v>
      </c>
      <c r="I10" s="20" t="s">
        <v>67</v>
      </c>
      <c r="J10" s="21" t="n">
        <v>46276</v>
      </c>
      <c r="K10" s="18" t="s">
        <v>16</v>
      </c>
      <c r="L10" s="20" t="s">
        <v>96</v>
      </c>
      <c r="M10" s="20" t="s">
        <v>97</v>
      </c>
    </row>
    <row r="11" customFormat="false" ht="57.75" hidden="false" customHeight="true" outlineLevel="0" collapsed="false">
      <c r="A11" s="11" t="s">
        <v>98</v>
      </c>
      <c r="B11" s="18" t="s">
        <v>99</v>
      </c>
      <c r="C11" s="19" t="s">
        <v>100</v>
      </c>
      <c r="D11" s="20" t="s">
        <v>101</v>
      </c>
      <c r="E11" s="18" t="s">
        <v>102</v>
      </c>
      <c r="F11" s="20" t="s">
        <v>103</v>
      </c>
      <c r="G11" s="20" t="s">
        <v>104</v>
      </c>
      <c r="H11" s="18" t="s">
        <v>21</v>
      </c>
      <c r="I11" s="20" t="s">
        <v>105</v>
      </c>
      <c r="J11" s="21" t="n">
        <v>46534</v>
      </c>
      <c r="K11" s="18" t="s">
        <v>18</v>
      </c>
      <c r="L11" s="20" t="s">
        <v>106</v>
      </c>
      <c r="M11" s="20" t="s">
        <v>107</v>
      </c>
    </row>
    <row r="12" customFormat="false" ht="57.75" hidden="false" customHeight="true" outlineLevel="0" collapsed="false">
      <c r="A12" s="11" t="s">
        <v>108</v>
      </c>
      <c r="B12" s="18" t="s">
        <v>99</v>
      </c>
      <c r="C12" s="19" t="s">
        <v>109</v>
      </c>
      <c r="D12" s="20" t="s">
        <v>110</v>
      </c>
      <c r="E12" s="18" t="s">
        <v>111</v>
      </c>
      <c r="F12" s="20" t="s">
        <v>112</v>
      </c>
      <c r="G12" s="20" t="s">
        <v>113</v>
      </c>
      <c r="H12" s="18" t="s">
        <v>21</v>
      </c>
      <c r="I12" s="20" t="s">
        <v>114</v>
      </c>
      <c r="J12" s="21" t="n">
        <v>46555</v>
      </c>
      <c r="K12" s="18" t="s">
        <v>18</v>
      </c>
      <c r="L12" s="20" t="s">
        <v>115</v>
      </c>
      <c r="M12" s="20" t="s">
        <v>116</v>
      </c>
    </row>
    <row r="13" customFormat="false" ht="70.5" hidden="false" customHeight="true" outlineLevel="0" collapsed="false">
      <c r="A13" s="11" t="s">
        <v>117</v>
      </c>
      <c r="B13" s="18" t="s">
        <v>118</v>
      </c>
      <c r="C13" s="19" t="s">
        <v>119</v>
      </c>
      <c r="D13" s="20" t="s">
        <v>120</v>
      </c>
      <c r="E13" s="18" t="s">
        <v>121</v>
      </c>
      <c r="F13" s="20" t="s">
        <v>122</v>
      </c>
      <c r="G13" s="20" t="s">
        <v>123</v>
      </c>
      <c r="H13" s="18" t="s">
        <v>21</v>
      </c>
      <c r="I13" s="20" t="s">
        <v>86</v>
      </c>
      <c r="J13" s="21" t="n">
        <v>46534</v>
      </c>
      <c r="K13" s="18" t="s">
        <v>18</v>
      </c>
      <c r="L13" s="20" t="s">
        <v>124</v>
      </c>
      <c r="M13" s="20" t="s">
        <v>125</v>
      </c>
    </row>
    <row r="14" customFormat="false" ht="70.5" hidden="false" customHeight="true" outlineLevel="0" collapsed="false">
      <c r="A14" s="11" t="s">
        <v>126</v>
      </c>
      <c r="B14" s="18" t="s">
        <v>118</v>
      </c>
      <c r="C14" s="19" t="s">
        <v>127</v>
      </c>
      <c r="D14" s="20" t="s">
        <v>128</v>
      </c>
      <c r="E14" s="18" t="s">
        <v>129</v>
      </c>
      <c r="F14" s="20" t="s">
        <v>130</v>
      </c>
      <c r="G14" s="20" t="s">
        <v>131</v>
      </c>
      <c r="H14" s="18" t="s">
        <v>21</v>
      </c>
      <c r="I14" s="20" t="s">
        <v>132</v>
      </c>
      <c r="J14" s="21" t="n">
        <v>46457</v>
      </c>
      <c r="K14" s="18" t="s">
        <v>18</v>
      </c>
      <c r="L14" s="20" t="s">
        <v>133</v>
      </c>
      <c r="M14" s="20" t="s">
        <v>134</v>
      </c>
    </row>
    <row r="15" customFormat="false" ht="45" hidden="false" customHeight="true" outlineLevel="0" collapsed="false">
      <c r="A15" s="11" t="s">
        <v>135</v>
      </c>
      <c r="B15" s="18" t="s">
        <v>118</v>
      </c>
      <c r="C15" s="19" t="s">
        <v>136</v>
      </c>
      <c r="D15" s="20" t="s">
        <v>137</v>
      </c>
      <c r="E15" s="18" t="s">
        <v>138</v>
      </c>
      <c r="F15" s="20" t="s">
        <v>139</v>
      </c>
      <c r="G15" s="20" t="s">
        <v>140</v>
      </c>
      <c r="H15" s="18" t="s">
        <v>21</v>
      </c>
      <c r="I15" s="20" t="s">
        <v>67</v>
      </c>
      <c r="J15" s="21" t="n">
        <v>46721</v>
      </c>
      <c r="K15" s="18" t="s">
        <v>20</v>
      </c>
      <c r="L15" s="20" t="s">
        <v>141</v>
      </c>
      <c r="M15" s="20" t="s">
        <v>142</v>
      </c>
    </row>
    <row r="16" customFormat="false" ht="45" hidden="false" customHeight="true" outlineLevel="0" collapsed="false">
      <c r="A16" s="11" t="s">
        <v>143</v>
      </c>
      <c r="B16" s="18" t="s">
        <v>71</v>
      </c>
      <c r="C16" s="19" t="s">
        <v>144</v>
      </c>
      <c r="D16" s="20" t="s">
        <v>145</v>
      </c>
      <c r="E16" s="18" t="s">
        <v>146</v>
      </c>
      <c r="F16" s="20" t="s">
        <v>147</v>
      </c>
      <c r="G16" s="20" t="s">
        <v>148</v>
      </c>
      <c r="H16" s="18" t="s">
        <v>19</v>
      </c>
      <c r="I16" s="20" t="s">
        <v>50</v>
      </c>
      <c r="J16" s="21" t="n">
        <v>46283</v>
      </c>
      <c r="K16" s="18" t="s">
        <v>16</v>
      </c>
      <c r="L16" s="20" t="s">
        <v>149</v>
      </c>
      <c r="M16" s="20" t="s">
        <v>150</v>
      </c>
    </row>
    <row r="17" customFormat="false" ht="45" hidden="false" customHeight="true" outlineLevel="0" collapsed="false">
      <c r="A17" s="11" t="s">
        <v>151</v>
      </c>
      <c r="B17" s="18" t="s">
        <v>152</v>
      </c>
      <c r="C17" s="19" t="s">
        <v>153</v>
      </c>
      <c r="D17" s="20" t="s">
        <v>154</v>
      </c>
      <c r="E17" s="18" t="s">
        <v>146</v>
      </c>
      <c r="F17" s="20" t="s">
        <v>155</v>
      </c>
      <c r="G17" s="20" t="s">
        <v>156</v>
      </c>
      <c r="H17" s="18" t="s">
        <v>17</v>
      </c>
      <c r="I17" s="20" t="s">
        <v>105</v>
      </c>
      <c r="J17" s="21" t="n">
        <v>46269</v>
      </c>
      <c r="K17" s="18" t="s">
        <v>16</v>
      </c>
      <c r="L17" s="20" t="s">
        <v>157</v>
      </c>
      <c r="M17" s="20" t="s">
        <v>158</v>
      </c>
    </row>
    <row r="18" customFormat="false" ht="84" hidden="false" customHeight="true" outlineLevel="0" collapsed="false">
      <c r="A18" s="11" t="s">
        <v>159</v>
      </c>
      <c r="B18" s="18" t="s">
        <v>118</v>
      </c>
      <c r="C18" s="19" t="s">
        <v>160</v>
      </c>
      <c r="D18" s="20" t="s">
        <v>161</v>
      </c>
      <c r="E18" s="18" t="s">
        <v>162</v>
      </c>
      <c r="F18" s="20" t="s">
        <v>163</v>
      </c>
      <c r="G18" s="20" t="s">
        <v>164</v>
      </c>
      <c r="H18" s="18" t="s">
        <v>21</v>
      </c>
      <c r="I18" s="20" t="s">
        <v>67</v>
      </c>
      <c r="J18" s="21" t="n">
        <v>46721</v>
      </c>
      <c r="K18" s="18" t="s">
        <v>20</v>
      </c>
      <c r="L18" s="20" t="s">
        <v>165</v>
      </c>
      <c r="M18" s="20" t="s">
        <v>166</v>
      </c>
    </row>
    <row r="19" customFormat="false" ht="70.5" hidden="false" customHeight="true" outlineLevel="0" collapsed="false">
      <c r="A19" s="11" t="s">
        <v>167</v>
      </c>
      <c r="B19" s="18" t="s">
        <v>90</v>
      </c>
      <c r="C19" s="19" t="s">
        <v>168</v>
      </c>
      <c r="D19" s="20" t="s">
        <v>169</v>
      </c>
      <c r="E19" s="18" t="s">
        <v>170</v>
      </c>
      <c r="F19" s="20" t="s">
        <v>171</v>
      </c>
      <c r="G19" s="20" t="s">
        <v>172</v>
      </c>
      <c r="H19" s="18" t="s">
        <v>21</v>
      </c>
      <c r="I19" s="20" t="s">
        <v>77</v>
      </c>
      <c r="J19" s="21" t="n">
        <v>46721</v>
      </c>
      <c r="K19" s="18" t="s">
        <v>20</v>
      </c>
      <c r="L19" s="20" t="s">
        <v>173</v>
      </c>
      <c r="M19" s="20" t="s">
        <v>174</v>
      </c>
    </row>
  </sheetData>
  <autoFilter ref="A4:M19"/>
  <conditionalFormatting sqref="H5:H60">
    <cfRule type="cellIs" priority="2" operator="equal" aboveAverage="0" equalAverage="0" bottom="0" percent="0" rank="0" text="" dxfId="12">
      <formula>"Approved"</formula>
    </cfRule>
    <cfRule type="cellIs" priority="3" operator="equal" aboveAverage="0" equalAverage="0" bottom="0" percent="0" rank="0" text="" dxfId="12">
      <formula>"Approved with conditions"</formula>
    </cfRule>
    <cfRule type="cellIs" priority="4" operator="equal" aboveAverage="0" equalAverage="0" bottom="0" percent="0" rank="0" text="" dxfId="13">
      <formula>"Pending decision"</formula>
    </cfRule>
    <cfRule type="cellIs" priority="5" operator="equal" aboveAverage="0" equalAverage="0" bottom="0" percent="0" rank="0" text="" dxfId="14">
      <formula>"Proposed"</formula>
    </cfRule>
    <cfRule type="cellIs" priority="6" operator="equal" aboveAverage="0" equalAverage="0" bottom="0" percent="0" rank="0" text="" dxfId="15">
      <formula>"Needs evidence"</formula>
    </cfRule>
  </conditionalFormatting>
  <conditionalFormatting sqref="K5:K60">
    <cfRule type="cellIs" priority="7" operator="equal" aboveAverage="0" equalAverage="0" bottom="0" percent="0" rank="0" text="" dxfId="12">
      <formula>"MVP"</formula>
    </cfRule>
    <cfRule type="cellIs" priority="8" operator="equal" aboveAverage="0" equalAverage="0" bottom="0" percent="0" rank="0" text="" dxfId="13">
      <formula>"Next"</formula>
    </cfRule>
    <cfRule type="cellIs" priority="9" operator="equal" aboveAverage="0" equalAverage="0" bottom="0" percent="0" rank="0" text="" dxfId="15">
      <formula>"Later"</formula>
    </cfRule>
  </conditionalFormatting>
  <dataValidations count="3">
    <dataValidation allowBlank="true" errorStyle="stop" operator="between" showDropDown="false" showErrorMessage="false" showInputMessage="false" sqref="H5:H60" type="list">
      <formula1>"Approved,Approved with conditions,Pending decision,Proposed,Needs evidence"</formula1>
      <formula2>0</formula2>
    </dataValidation>
    <dataValidation allowBlank="true" errorStyle="stop" operator="between" showDropDown="false" showErrorMessage="false" showInputMessage="false" sqref="K5:K60" type="list">
      <formula1>"MVP,Next,Later"</formula1>
      <formula2>0</formula2>
    </dataValidation>
    <dataValidation allowBlank="true" errorStyle="stop" operator="between" showDropDown="false" showErrorMessage="false" showInputMessage="false" sqref="B5:B60" type="list">
      <formula1>"Workflow,Evidence,Trust and data,Security,Prevention,AI,Market"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40"/>
    <col collapsed="false" customWidth="true" hidden="false" outlineLevel="0" max="4" min="4" style="0" width="60"/>
    <col collapsed="false" customWidth="true" hidden="false" outlineLevel="0" max="5" min="5" style="0" width="20"/>
    <col collapsed="false" customWidth="true" hidden="false" outlineLevel="0" max="6" min="6" style="0" width="12"/>
    <col collapsed="false" customWidth="true" hidden="false" outlineLevel="0" max="7" min="7" style="0" width="18"/>
  </cols>
  <sheetData>
    <row r="1" customFormat="false" ht="19.7" hidden="false" customHeight="false" outlineLevel="0" collapsed="false">
      <c r="A1" s="15" t="s">
        <v>36</v>
      </c>
    </row>
    <row r="2" customFormat="false" ht="15" hidden="false" customHeight="false" outlineLevel="0" collapsed="false">
      <c r="A2" s="16" t="s">
        <v>175</v>
      </c>
    </row>
    <row r="4" customFormat="false" ht="15" hidden="false" customHeight="false" outlineLevel="0" collapsed="false">
      <c r="A4" s="17" t="s">
        <v>32</v>
      </c>
      <c r="B4" s="17" t="s">
        <v>176</v>
      </c>
      <c r="C4" s="17" t="s">
        <v>177</v>
      </c>
      <c r="D4" s="17" t="s">
        <v>178</v>
      </c>
      <c r="E4" s="17" t="s">
        <v>179</v>
      </c>
      <c r="F4" s="17" t="s">
        <v>180</v>
      </c>
      <c r="G4" s="17" t="s">
        <v>181</v>
      </c>
    </row>
    <row r="5" customFormat="false" ht="30" hidden="false" customHeight="true" outlineLevel="0" collapsed="false">
      <c r="A5" s="11" t="s">
        <v>182</v>
      </c>
      <c r="B5" s="20" t="s">
        <v>183</v>
      </c>
      <c r="C5" s="20" t="s">
        <v>184</v>
      </c>
      <c r="D5" s="22" t="s">
        <v>185</v>
      </c>
      <c r="E5" s="20" t="s">
        <v>186</v>
      </c>
      <c r="F5" s="18" t="s">
        <v>187</v>
      </c>
      <c r="G5" s="20" t="s">
        <v>188</v>
      </c>
    </row>
    <row r="6" customFormat="false" ht="30" hidden="false" customHeight="true" outlineLevel="0" collapsed="false">
      <c r="A6" s="11" t="s">
        <v>189</v>
      </c>
      <c r="B6" s="20" t="s">
        <v>183</v>
      </c>
      <c r="C6" s="20" t="s">
        <v>190</v>
      </c>
      <c r="D6" s="22" t="s">
        <v>191</v>
      </c>
      <c r="E6" s="20" t="s">
        <v>186</v>
      </c>
      <c r="F6" s="18" t="s">
        <v>187</v>
      </c>
      <c r="G6" s="20" t="s">
        <v>53</v>
      </c>
    </row>
    <row r="7" customFormat="false" ht="30" hidden="false" customHeight="true" outlineLevel="0" collapsed="false">
      <c r="A7" s="11" t="s">
        <v>192</v>
      </c>
      <c r="B7" s="20" t="s">
        <v>183</v>
      </c>
      <c r="C7" s="20" t="s">
        <v>193</v>
      </c>
      <c r="D7" s="22" t="s">
        <v>194</v>
      </c>
      <c r="E7" s="20" t="s">
        <v>186</v>
      </c>
      <c r="F7" s="18" t="s">
        <v>187</v>
      </c>
      <c r="G7" s="20" t="s">
        <v>195</v>
      </c>
    </row>
    <row r="8" customFormat="false" ht="30" hidden="false" customHeight="true" outlineLevel="0" collapsed="false">
      <c r="A8" s="11" t="s">
        <v>196</v>
      </c>
      <c r="B8" s="20" t="s">
        <v>183</v>
      </c>
      <c r="C8" s="20" t="s">
        <v>197</v>
      </c>
      <c r="D8" s="22" t="s">
        <v>198</v>
      </c>
      <c r="E8" s="20" t="s">
        <v>186</v>
      </c>
      <c r="F8" s="18" t="s">
        <v>187</v>
      </c>
      <c r="G8" s="20" t="s">
        <v>89</v>
      </c>
    </row>
    <row r="9" customFormat="false" ht="30" hidden="false" customHeight="true" outlineLevel="0" collapsed="false">
      <c r="A9" s="11" t="s">
        <v>199</v>
      </c>
      <c r="B9" s="20" t="s">
        <v>183</v>
      </c>
      <c r="C9" s="20" t="s">
        <v>200</v>
      </c>
      <c r="D9" s="22" t="s">
        <v>201</v>
      </c>
      <c r="E9" s="20" t="s">
        <v>186</v>
      </c>
      <c r="F9" s="18" t="s">
        <v>187</v>
      </c>
      <c r="G9" s="20" t="s">
        <v>117</v>
      </c>
    </row>
    <row r="10" customFormat="false" ht="30" hidden="false" customHeight="true" outlineLevel="0" collapsed="false">
      <c r="A10" s="11" t="s">
        <v>202</v>
      </c>
      <c r="B10" s="20" t="s">
        <v>183</v>
      </c>
      <c r="C10" s="20" t="s">
        <v>203</v>
      </c>
      <c r="D10" s="22" t="s">
        <v>204</v>
      </c>
      <c r="E10" s="20" t="s">
        <v>186</v>
      </c>
      <c r="F10" s="18" t="s">
        <v>187</v>
      </c>
      <c r="G10" s="20" t="s">
        <v>61</v>
      </c>
    </row>
    <row r="11" customFormat="false" ht="30" hidden="false" customHeight="true" outlineLevel="0" collapsed="false">
      <c r="A11" s="11" t="s">
        <v>205</v>
      </c>
      <c r="B11" s="20" t="s">
        <v>206</v>
      </c>
      <c r="C11" s="20" t="s">
        <v>207</v>
      </c>
      <c r="D11" s="22" t="s">
        <v>208</v>
      </c>
      <c r="E11" s="20" t="s">
        <v>186</v>
      </c>
      <c r="F11" s="18" t="s">
        <v>187</v>
      </c>
      <c r="G11" s="20" t="s">
        <v>209</v>
      </c>
    </row>
    <row r="12" customFormat="false" ht="30" hidden="false" customHeight="true" outlineLevel="0" collapsed="false">
      <c r="A12" s="11" t="s">
        <v>210</v>
      </c>
      <c r="B12" s="20" t="s">
        <v>211</v>
      </c>
      <c r="C12" s="20" t="s">
        <v>212</v>
      </c>
      <c r="D12" s="22" t="s">
        <v>213</v>
      </c>
      <c r="E12" s="20" t="s">
        <v>214</v>
      </c>
      <c r="F12" s="18" t="s">
        <v>187</v>
      </c>
      <c r="G12" s="20" t="s">
        <v>215</v>
      </c>
    </row>
    <row r="13" customFormat="false" ht="30" hidden="false" customHeight="true" outlineLevel="0" collapsed="false">
      <c r="A13" s="11" t="s">
        <v>216</v>
      </c>
      <c r="B13" s="20" t="s">
        <v>211</v>
      </c>
      <c r="C13" s="20" t="s">
        <v>217</v>
      </c>
      <c r="D13" s="22" t="s">
        <v>218</v>
      </c>
      <c r="E13" s="20" t="s">
        <v>214</v>
      </c>
      <c r="F13" s="18" t="s">
        <v>187</v>
      </c>
      <c r="G13" s="20" t="s">
        <v>219</v>
      </c>
    </row>
    <row r="14" customFormat="false" ht="30" hidden="false" customHeight="true" outlineLevel="0" collapsed="false">
      <c r="A14" s="11" t="s">
        <v>220</v>
      </c>
      <c r="B14" s="20" t="s">
        <v>211</v>
      </c>
      <c r="C14" s="20" t="s">
        <v>221</v>
      </c>
      <c r="D14" s="22" t="s">
        <v>222</v>
      </c>
      <c r="E14" s="20" t="s">
        <v>223</v>
      </c>
      <c r="F14" s="18" t="s">
        <v>187</v>
      </c>
      <c r="G14" s="20" t="s">
        <v>117</v>
      </c>
    </row>
    <row r="15" customFormat="false" ht="30" hidden="false" customHeight="true" outlineLevel="0" collapsed="false">
      <c r="A15" s="11" t="s">
        <v>224</v>
      </c>
      <c r="B15" s="20" t="s">
        <v>225</v>
      </c>
      <c r="C15" s="20" t="s">
        <v>226</v>
      </c>
      <c r="D15" s="22" t="s">
        <v>227</v>
      </c>
      <c r="E15" s="20" t="s">
        <v>214</v>
      </c>
      <c r="F15" s="18" t="s">
        <v>187</v>
      </c>
      <c r="G15" s="20" t="s">
        <v>228</v>
      </c>
    </row>
    <row r="16" customFormat="false" ht="30" hidden="false" customHeight="true" outlineLevel="0" collapsed="false">
      <c r="A16" s="11" t="s">
        <v>229</v>
      </c>
      <c r="B16" s="20" t="s">
        <v>225</v>
      </c>
      <c r="C16" s="20" t="s">
        <v>230</v>
      </c>
      <c r="D16" s="22" t="s">
        <v>231</v>
      </c>
      <c r="E16" s="20" t="s">
        <v>214</v>
      </c>
      <c r="F16" s="18" t="s">
        <v>187</v>
      </c>
      <c r="G16" s="20" t="s">
        <v>232</v>
      </c>
    </row>
    <row r="17" customFormat="false" ht="30" hidden="false" customHeight="true" outlineLevel="0" collapsed="false">
      <c r="A17" s="11" t="s">
        <v>233</v>
      </c>
      <c r="B17" s="20" t="s">
        <v>234</v>
      </c>
      <c r="C17" s="20" t="s">
        <v>235</v>
      </c>
      <c r="D17" s="22" t="s">
        <v>236</v>
      </c>
      <c r="E17" s="20" t="s">
        <v>237</v>
      </c>
      <c r="F17" s="21" t="n">
        <v>46113</v>
      </c>
      <c r="G17" s="20" t="s">
        <v>238</v>
      </c>
    </row>
    <row r="18" customFormat="false" ht="30" hidden="false" customHeight="true" outlineLevel="0" collapsed="false">
      <c r="A18" s="11" t="s">
        <v>239</v>
      </c>
      <c r="B18" s="20" t="s">
        <v>240</v>
      </c>
      <c r="C18" s="20" t="s">
        <v>241</v>
      </c>
      <c r="D18" s="22" t="s">
        <v>242</v>
      </c>
      <c r="E18" s="20" t="s">
        <v>243</v>
      </c>
      <c r="F18" s="18" t="s">
        <v>187</v>
      </c>
      <c r="G18" s="20" t="s">
        <v>159</v>
      </c>
    </row>
    <row r="19" customFormat="false" ht="30" hidden="false" customHeight="true" outlineLevel="0" collapsed="false">
      <c r="A19" s="11" t="s">
        <v>244</v>
      </c>
      <c r="B19" s="20" t="s">
        <v>245</v>
      </c>
      <c r="C19" s="20" t="s">
        <v>246</v>
      </c>
      <c r="D19" s="22" t="s">
        <v>247</v>
      </c>
      <c r="E19" s="20" t="s">
        <v>248</v>
      </c>
      <c r="F19" s="21" t="n">
        <v>46203</v>
      </c>
      <c r="G19" s="20" t="s">
        <v>249</v>
      </c>
    </row>
    <row r="20" customFormat="false" ht="30" hidden="false" customHeight="true" outlineLevel="0" collapsed="false">
      <c r="A20" s="11" t="s">
        <v>250</v>
      </c>
      <c r="B20" s="20" t="s">
        <v>251</v>
      </c>
      <c r="C20" s="20" t="s">
        <v>252</v>
      </c>
      <c r="D20" s="22" t="s">
        <v>253</v>
      </c>
      <c r="E20" s="20" t="s">
        <v>254</v>
      </c>
      <c r="F20" s="21" t="n">
        <v>46205</v>
      </c>
      <c r="G20" s="20" t="s">
        <v>167</v>
      </c>
    </row>
    <row r="21" customFormat="false" ht="30" hidden="false" customHeight="true" outlineLevel="0" collapsed="false">
      <c r="A21" s="11" t="s">
        <v>255</v>
      </c>
      <c r="B21" s="20" t="s">
        <v>256</v>
      </c>
      <c r="C21" s="20" t="s">
        <v>257</v>
      </c>
      <c r="D21" s="22" t="s">
        <v>258</v>
      </c>
      <c r="E21" s="20" t="s">
        <v>254</v>
      </c>
      <c r="F21" s="21" t="n">
        <v>46231</v>
      </c>
      <c r="G21" s="20" t="s">
        <v>259</v>
      </c>
    </row>
    <row r="22" customFormat="false" ht="30" hidden="false" customHeight="true" outlineLevel="0" collapsed="false">
      <c r="A22" s="11" t="s">
        <v>260</v>
      </c>
      <c r="B22" s="20" t="s">
        <v>256</v>
      </c>
      <c r="C22" s="20" t="s">
        <v>261</v>
      </c>
      <c r="D22" s="22" t="s">
        <v>262</v>
      </c>
      <c r="E22" s="20" t="s">
        <v>263</v>
      </c>
      <c r="F22" s="21" t="n">
        <v>46222</v>
      </c>
      <c r="G22" s="20" t="s">
        <v>108</v>
      </c>
    </row>
    <row r="23" customFormat="false" ht="30" hidden="false" customHeight="true" outlineLevel="0" collapsed="false">
      <c r="A23" s="11" t="s">
        <v>138</v>
      </c>
      <c r="B23" s="20" t="s">
        <v>264</v>
      </c>
      <c r="C23" s="20" t="s">
        <v>265</v>
      </c>
      <c r="D23" s="22" t="s">
        <v>266</v>
      </c>
      <c r="E23" s="20" t="s">
        <v>254</v>
      </c>
      <c r="F23" s="21" t="n">
        <v>46220</v>
      </c>
      <c r="G23" s="20" t="s">
        <v>135</v>
      </c>
    </row>
    <row r="24" customFormat="false" ht="30" hidden="false" customHeight="true" outlineLevel="0" collapsed="false">
      <c r="A24" s="11" t="s">
        <v>267</v>
      </c>
      <c r="B24" s="20" t="s">
        <v>268</v>
      </c>
      <c r="C24" s="20" t="s">
        <v>269</v>
      </c>
      <c r="D24" s="22" t="s">
        <v>270</v>
      </c>
      <c r="E24" s="20" t="s">
        <v>254</v>
      </c>
      <c r="F24" s="21" t="n">
        <v>46237</v>
      </c>
      <c r="G24" s="20" t="s">
        <v>126</v>
      </c>
    </row>
    <row r="25" customFormat="false" ht="30" hidden="false" customHeight="true" outlineLevel="0" collapsed="false">
      <c r="A25" s="11" t="s">
        <v>146</v>
      </c>
      <c r="B25" s="20" t="s">
        <v>271</v>
      </c>
      <c r="C25" s="20" t="s">
        <v>272</v>
      </c>
      <c r="D25" s="20"/>
      <c r="E25" s="20" t="s">
        <v>273</v>
      </c>
      <c r="F25" s="21" t="n">
        <v>46275</v>
      </c>
      <c r="G25" s="20" t="s">
        <v>274</v>
      </c>
    </row>
  </sheetData>
  <conditionalFormatting sqref="E5:E60">
    <cfRule type="cellIs" priority="2" operator="equal" aboveAverage="0" equalAverage="0" bottom="0" percent="0" rank="0" text="" dxfId="13">
      <formula>"Vendor blog"</formula>
    </cfRule>
    <cfRule type="cellIs" priority="3" operator="equal" aboveAverage="0" equalAverage="0" bottom="0" percent="0" rank="0" text="" dxfId="13">
      <formula>"Vendor blog (competitor of Stripe)"</formula>
    </cfRule>
    <cfRule type="cellIs" priority="4" operator="equal" aboveAverage="0" equalAverage="0" bottom="0" percent="0" rank="0" text="" dxfId="13">
      <formula>"Vendor research"</formula>
    </cfRule>
  </conditionalFormatting>
  <hyperlinks>
    <hyperlink ref="D5" r:id="rId1" display="https://www.americanexpress.com/us/merchant/support-center/disputes.html"/>
    <hyperlink ref="D6" r:id="rId2" display="https://www.americanexpress.com/us/merchant/support-center/disputes/managing-a-disputes-case.html"/>
    <hyperlink ref="D7" r:id="rId3" display="https://www.americanexpress.com/us/merchant/support-center/disputes/why-manage-disputes-online.html"/>
    <hyperlink ref="D8" r:id="rId4" display="https://www.americanexpress.com/us/merchant/support-center/disputes/adding-documents-to-a-case.html"/>
    <hyperlink ref="D9" r:id="rId5" display="https://www.americanexpress.com/us/merchant/support-center/disputes/logging-in-and-enrolling.html"/>
    <hyperlink ref="D10" r:id="rId6" display="https://www.americanexpress.com/ac/merchant/support-centre.html"/>
    <hyperlink ref="D11" r:id="rId7" display="https://help.adyen.com/en_US/knowledge/risk/dispute-management/how-can-i-get-chargeback-disputes-webhooks-and-updates"/>
    <hyperlink ref="D12" r:id="rId8" display="https://docs.stripe.com/disputes/smart-disputes"/>
    <hyperlink ref="D13" r:id="rId9" display="https://docs.stripe.com/disputes/prevention-preview"/>
    <hyperlink ref="D14" r:id="rId10" display="https://stripe.com/guides/introduction-to-payment-disputes"/>
    <hyperlink ref="D15" r:id="rId11" display="https://razorpay.com/docs/payments/disputes/dashboard/?preferred-country=US"/>
    <hyperlink ref="D16" r:id="rId12" display="https://razorpay.com/docs/payments/disputes/"/>
    <hyperlink ref="D17" r:id="rId13" display="https://www.digitalcommerce360.com/2026/04/01/visa-adds-ai-tools-for-dispute-resolution/"/>
    <hyperlink ref="D18" r:id="rId14" display="https://thepaypers.com/fraud-and-fincrime/expert-views/chargebacks-issuer-fraud-verdicts-and-the-impact-of-agentic-commerce"/>
    <hyperlink ref="D19" r:id="rId15" display="https://chargebacks911.com/chargeback-field-report/"/>
    <hyperlink ref="D20" r:id="rId16" display="https://justt.ai/blog/solving-agentic-commerce-chargebacks/"/>
    <hyperlink ref="D21" r:id="rId17" display="https://www.chargeflow.io/blog/ai-agent-chargeback-liability"/>
    <hyperlink ref="D22" r:id="rId18" display="https://www.chargeflow.io/blog/what-stripe-smart-disputes-covers-and-what-it-doesnt"/>
    <hyperlink ref="D23" r:id="rId19" display="https://wyllo.ai/chargeback-prevention-ecommerce-2026/"/>
    <hyperlink ref="D24" r:id="rId20" display="https://www.chargeback.io/blog/how-to-win-an-american-express-disput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70"/>
    <col collapsed="false" customWidth="true" hidden="false" outlineLevel="0" max="3" min="3" style="0" width="50"/>
  </cols>
  <sheetData>
    <row r="1" customFormat="false" ht="19.7" hidden="false" customHeight="false" outlineLevel="0" collapsed="false">
      <c r="A1" s="15" t="s">
        <v>275</v>
      </c>
    </row>
    <row r="3" customFormat="false" ht="15" hidden="false" customHeight="false" outlineLevel="0" collapsed="false">
      <c r="A3" s="17" t="s">
        <v>276</v>
      </c>
      <c r="B3" s="17" t="s">
        <v>277</v>
      </c>
      <c r="C3" s="17" t="s">
        <v>278</v>
      </c>
    </row>
    <row r="4" customFormat="false" ht="43.5" hidden="false" customHeight="true" outlineLevel="0" collapsed="false">
      <c r="A4" s="19" t="s">
        <v>279</v>
      </c>
      <c r="B4" s="20" t="s">
        <v>280</v>
      </c>
      <c r="C4" s="20" t="s">
        <v>281</v>
      </c>
    </row>
    <row r="5" customFormat="false" ht="43.5" hidden="false" customHeight="true" outlineLevel="0" collapsed="false">
      <c r="A5" s="19" t="s">
        <v>279</v>
      </c>
      <c r="B5" s="20" t="s">
        <v>282</v>
      </c>
      <c r="C5" s="20" t="s">
        <v>283</v>
      </c>
    </row>
    <row r="6" customFormat="false" ht="43.5" hidden="false" customHeight="true" outlineLevel="0" collapsed="false">
      <c r="A6" s="19" t="s">
        <v>36</v>
      </c>
      <c r="B6" s="20" t="s">
        <v>284</v>
      </c>
      <c r="C6" s="20" t="s">
        <v>285</v>
      </c>
    </row>
    <row r="7" customFormat="false" ht="43.5" hidden="false" customHeight="true" outlineLevel="0" collapsed="false">
      <c r="A7" s="19" t="s">
        <v>286</v>
      </c>
      <c r="B7" s="20" t="s">
        <v>287</v>
      </c>
      <c r="C7" s="20" t="s">
        <v>288</v>
      </c>
    </row>
    <row r="8" customFormat="false" ht="43.5" hidden="false" customHeight="true" outlineLevel="0" collapsed="false">
      <c r="A8" s="19" t="s">
        <v>289</v>
      </c>
      <c r="B8" s="20" t="s">
        <v>290</v>
      </c>
      <c r="C8" s="20" t="s">
        <v>291</v>
      </c>
    </row>
    <row r="9" customFormat="false" ht="43.5" hidden="false" customHeight="true" outlineLevel="0" collapsed="false">
      <c r="A9" s="19" t="s">
        <v>292</v>
      </c>
      <c r="B9" s="20" t="s">
        <v>293</v>
      </c>
      <c r="C9" s="20" t="s">
        <v>294</v>
      </c>
    </row>
    <row r="10" customFormat="false" ht="43.5" hidden="false" customHeight="true" outlineLevel="0" collapsed="false">
      <c r="A10" s="19" t="s">
        <v>295</v>
      </c>
      <c r="B10" s="20" t="s">
        <v>296</v>
      </c>
      <c r="C10" s="20" t="s">
        <v>297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2026-09-11T18:47:58Z</dcterms:created>
  <dc:creator>openpyxl</dc:creator>
  <dc:description/>
  <dc:language>en-US</dc:language>
  <cp:lastModifiedBy/>
  <dcterms:modified xsi:type="dcterms:W3CDTF">2026-09-11T18:47:58Z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