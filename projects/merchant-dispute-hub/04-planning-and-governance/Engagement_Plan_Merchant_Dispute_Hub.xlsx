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Engagement Overview" sheetId="3" state="visible" r:id="rId5"/>
    <sheet name="Stakeholder Register" sheetId="4" state="visible" r:id="rId6"/>
    <sheet name="RACI Matrix" sheetId="5" state="visible" r:id="rId7"/>
    <sheet name="Governance" sheetId="6" state="visible" r:id="rId8"/>
    <sheet name="Communication Plan" sheetId="7" state="visible" r:id="rId9"/>
    <sheet name="Deliverables" sheetId="8" state="visible" r:id="rId10"/>
  </sheets>
  <definedNames>
    <definedName function="false" hidden="false" localSheetId="6" name="_xlnm.Print_Area" vbProcedure="false">'Communication Plan'!$A$1:$K$16</definedName>
    <definedName function="false" hidden="true" localSheetId="6" name="_xlnm._FilterDatabase" vbProcedure="false">'Communication Plan'!$A$4:$K$16</definedName>
    <definedName function="false" hidden="false" localSheetId="7" name="_xlnm.Print_Area" vbProcedure="false">Deliverables!$A$1:$J$20</definedName>
    <definedName function="false" hidden="true" localSheetId="7" name="_xlnm._FilterDatabase" vbProcedure="false">Deliverables!$A$4:$J$20</definedName>
    <definedName function="false" hidden="false" localSheetId="5" name="_xlnm.Print_Area" vbProcedure="false">Governance!$A$1:$J$26</definedName>
    <definedName function="false" hidden="false" localSheetId="4" name="_xlnm.Print_Area" vbProcedure="false">'RACI Matrix'!$A$1:$T$26</definedName>
    <definedName function="false" hidden="false" localSheetId="3" name="_xlnm.Print_Area" vbProcedure="false">'Stakeholder Register'!$A$1:$U$22</definedName>
    <definedName function="false" hidden="true" localSheetId="3" name="_xlnm._FilterDatabase" vbProcedure="false">'Stakeholder Register'!$A$4:$U$22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<sst xmlns="http://schemas.openxmlformats.org/spreadsheetml/2006/main" count="1068" uniqueCount="681">
  <si>
    <t xml:space="preserve">Engagement Plan</t>
  </si>
  <si>
    <t xml:space="preserve">Merchant Payment Operations &amp; Dispute Hub</t>
  </si>
  <si>
    <t xml:space="preserve">Document</t>
  </si>
  <si>
    <t xml:space="preserve">Engagement overview, stakeholder engagement, RACI, governance, communications and deliverables</t>
  </si>
  <si>
    <t xml:space="preserve">Version</t>
  </si>
  <si>
    <t xml:space="preserve">1.0</t>
  </si>
  <si>
    <t xml:space="preserve">Reporting date</t>
  </si>
  <si>
    <t xml:space="preserve">Prepared by</t>
  </si>
  <si>
    <t xml:space="preserve">Bhawna, Product Owner</t>
  </si>
  <si>
    <t xml:space="preserve">Companion documents</t>
  </si>
  <si>
    <t xml:space="preserve">RAID_Log, Change_Log, Product_Backlog, RTM, KPI_Definitions and Business_Case_GTM workbooks</t>
  </si>
  <si>
    <t xml:space="preserve">Project type</t>
  </si>
  <si>
    <t xml:space="preserve">Simulation / portfolio project prepared to demonstrate Product Owner practice. Not an actual client engagement; stakeholders are roles, not real people, and all dates are illustrative.</t>
  </si>
  <si>
    <t xml:space="preserve">Purpose</t>
  </si>
  <si>
    <t xml:space="preserve">Sets out how the engagement is run and how stakeholders are brought along: what we are delivering and why, who needs to be involved and how, who decides what, which forums make decisions, how we communicate, and which deliverables are due. The Dashboard highlights engagement gaps, overdue actions, upcoming governance and RACI issues.</t>
  </si>
  <si>
    <t xml:space="preserve">Stakeholder engagement levels</t>
  </si>
  <si>
    <t xml:space="preserve">Level</t>
  </si>
  <si>
    <t xml:space="preserve">Meaning</t>
  </si>
  <si>
    <t xml:space="preserve">1 · Unaware</t>
  </si>
  <si>
    <t xml:space="preserve">Doesn't yet know about the engagement or how it affects them.</t>
  </si>
  <si>
    <t xml:space="preserve">2 · Resistant</t>
  </si>
  <si>
    <t xml:space="preserve">Aware and opposed, or pushing for a conflicting outcome.</t>
  </si>
  <si>
    <t xml:space="preserve">3 · Neutral</t>
  </si>
  <si>
    <t xml:space="preserve">Aware but not actively supporting or opposing.</t>
  </si>
  <si>
    <t xml:space="preserve">4 · Supportive</t>
  </si>
  <si>
    <t xml:space="preserve">Aware and supports the approach and decisions.</t>
  </si>
  <si>
    <t xml:space="preserve">5 · Leading</t>
  </si>
  <si>
    <t xml:space="preserve">Actively champions the work and influences others.</t>
  </si>
  <si>
    <t xml:space="preserve">Influence and interest quadrants</t>
  </si>
  <si>
    <t xml:space="preserve">Quadrant</t>
  </si>
  <si>
    <t xml:space="preserve">Approach</t>
  </si>
  <si>
    <t xml:space="preserve">Manage closely</t>
  </si>
  <si>
    <t xml:space="preserve">High influence, high interest. Involve in decisions; engage frequently and personally.</t>
  </si>
  <si>
    <t xml:space="preserve">Keep satisfied</t>
  </si>
  <si>
    <t xml:space="preserve">High influence, lower interest. Brief on decisions that affect them; avoid overloading.</t>
  </si>
  <si>
    <t xml:space="preserve">Keep informed</t>
  </si>
  <si>
    <t xml:space="preserve">Lower influence, high interest. Share progress regularly and use their feedback.</t>
  </si>
  <si>
    <t xml:space="preserve">Monitor</t>
  </si>
  <si>
    <t xml:space="preserve">Lower influence and interest. Light-touch updates; watch for changes.</t>
  </si>
  <si>
    <t xml:space="preserve">The threshold for 'high' is set on the Stakeholder Register tab (default 4 on a 1–5 scale).</t>
  </si>
  <si>
    <t xml:space="preserve">RACI</t>
  </si>
  <si>
    <t xml:space="preserve">Code</t>
  </si>
  <si>
    <t xml:space="preserve">R · Responsible</t>
  </si>
  <si>
    <t xml:space="preserve">Does the work. At least one per activity.</t>
  </si>
  <si>
    <t xml:space="preserve">A · Accountable</t>
  </si>
  <si>
    <t xml:space="preserve">Owns the outcome and makes the final decision. Exactly one per activity.</t>
  </si>
  <si>
    <t xml:space="preserve">C · Consulted</t>
  </si>
  <si>
    <t xml:space="preserve">Gives input before the decision; two-way conversation.</t>
  </si>
  <si>
    <t xml:space="preserve">I · Informed</t>
  </si>
  <si>
    <t xml:space="preserve">Told about the outcome; one-way communication.</t>
  </si>
  <si>
    <t xml:space="preserve">R/A</t>
  </si>
  <si>
    <t xml:space="preserve">Responsible and accountable (does the work and owns the decision).</t>
  </si>
  <si>
    <t xml:space="preserve">How to maintain</t>
  </si>
  <si>
    <t xml:space="preserve">1. Update current engagement, last contact and next action for each stakeholder after key interactions; review weekly with the Engagement Lead.</t>
  </si>
  <si>
    <t xml:space="preserve">2. Re-score influence and interest at each phase change (for example before pilot and before each wave).</t>
  </si>
  <si>
    <t xml:space="preserve">3. Keep RACI in step with the Change Log decision thresholds; the check column flags rows without exactly one A.</t>
  </si>
  <si>
    <t xml:space="preserve">4. Update governance next dates and communication next send dates after each meeting or send.</t>
  </si>
  <si>
    <t xml:space="preserve">Grey columns calculate automatically. Dashboard date windows use the reporting date above.</t>
  </si>
  <si>
    <t xml:space="preserve">Version history</t>
  </si>
  <si>
    <t xml:space="preserve">Date</t>
  </si>
  <si>
    <t xml:space="preserve">Author</t>
  </si>
  <si>
    <t xml:space="preserve">Change summary</t>
  </si>
  <si>
    <t xml:space="preserve">Bhawna</t>
  </si>
  <si>
    <t xml:space="preserve">Initial engagement plan: 18 stakeholders, 18 RACI activities, 13 governance forums, 12 communications, 16 deliverables.</t>
  </si>
  <si>
    <t xml:space="preserve">Engagement Dashboard</t>
  </si>
  <si>
    <t xml:space="preserve">Merchant Payment Operations &amp; Dispute Hub · Simulation project · Figures update automatically</t>
  </si>
  <si>
    <t xml:space="preserve">Summary</t>
  </si>
  <si>
    <t xml:space="preserve">Stakeholders</t>
  </si>
  <si>
    <t xml:space="preserve">With engagement gap</t>
  </si>
  <si>
    <t xml:space="preserve">Resistant or unaware</t>
  </si>
  <si>
    <t xml:space="preserve">Overdue stakeholder actions</t>
  </si>
  <si>
    <t xml:space="preserve">Governance meetings in next 14 days</t>
  </si>
  <si>
    <t xml:space="preserve">Deliverables in review</t>
  </si>
  <si>
    <t xml:space="preserve">RACI rows to fix</t>
  </si>
  <si>
    <t xml:space="preserve">Influence and interest map</t>
  </si>
  <si>
    <t xml:space="preserve">Influence ↑</t>
  </si>
  <si>
    <t xml:space="preserve">Higher</t>
  </si>
  <si>
    <t xml:space="preserve">Lower</t>
  </si>
  <si>
    <t xml:space="preserve">Lower interest</t>
  </si>
  <si>
    <t xml:space="preserve">Interest →</t>
  </si>
  <si>
    <t xml:space="preserve">Higher interest</t>
  </si>
  <si>
    <t xml:space="preserve">Biggest engagement gaps (gap × influence)</t>
  </si>
  <si>
    <t xml:space="preserve">ID</t>
  </si>
  <si>
    <t xml:space="preserve">Stakeholder</t>
  </si>
  <si>
    <t xml:space="preserve">Current</t>
  </si>
  <si>
    <t xml:space="preserve">Desired</t>
  </si>
  <si>
    <t xml:space="preserve">Gap</t>
  </si>
  <si>
    <t xml:space="preserve">Next action</t>
  </si>
  <si>
    <t xml:space="preserve">Due</t>
  </si>
  <si>
    <t xml:space="preserve">Governance in the next 14 days</t>
  </si>
  <si>
    <t xml:space="preserve">Forum</t>
  </si>
  <si>
    <t xml:space="preserve">Chair</t>
  </si>
  <si>
    <t xml:space="preserve">Decisions and outputs</t>
  </si>
  <si>
    <t xml:space="preserve">Days until</t>
  </si>
  <si>
    <t xml:space="preserve">Deliverables due in the next 30 days (not yet approved)</t>
  </si>
  <si>
    <t xml:space="preserve">Deliverable</t>
  </si>
  <si>
    <t xml:space="preserve">Owner</t>
  </si>
  <si>
    <t xml:space="preserve">Approver</t>
  </si>
  <si>
    <t xml:space="preserve">Status</t>
  </si>
  <si>
    <t xml:space="preserve">Overdue?</t>
  </si>
  <si>
    <t xml:space="preserve">Engagement health by stakeholder type</t>
  </si>
  <si>
    <t xml:space="preserve">Type</t>
  </si>
  <si>
    <t xml:space="preserve">With gap</t>
  </si>
  <si>
    <t xml:space="preserve">Overdue actions</t>
  </si>
  <si>
    <t xml:space="preserve">Client</t>
  </si>
  <si>
    <t xml:space="preserve">Vendor</t>
  </si>
  <si>
    <t xml:space="preserve">External</t>
  </si>
  <si>
    <t xml:space="preserve">Delivery partner</t>
  </si>
  <si>
    <t xml:space="preserve">Engagement Overview</t>
  </si>
  <si>
    <t xml:space="preserve">Merchant Payment Operations &amp; Dispute Hub · Simulation project</t>
  </si>
  <si>
    <t xml:space="preserve">Engagement summary</t>
  </si>
  <si>
    <t xml:space="preserve">Topic</t>
  </si>
  <si>
    <t xml:space="preserve">Client context</t>
  </si>
  <si>
    <t xml:space="preserve">Merchant services division of a card payments provider (illustrative), supporting about 25,000 active merchants.</t>
  </si>
  <si>
    <t xml:space="preserve">Problem</t>
  </si>
  <si>
    <t xml:space="preserve">Merchants manage disputes by email and spreadsheets. Deadlines are missed, evidence is chased manually, ops handling time is high and settlement changes are hard to explain.</t>
  </si>
  <si>
    <t xml:space="preserve">Objectives</t>
  </si>
  <si>
    <t xml:space="preserve">1. Give merchants self-service dispute tracking and evidence submission.  2. Cut ops handling time and missed-deadline losses.  3. Keep card data out of evidence storage.  4. Give ops and finance one trusted set of dispute numbers.</t>
  </si>
  <si>
    <t xml:space="preserve">In scope (MVP)</t>
  </si>
  <si>
    <t xml:space="preserve">Merchant portal (inbox, dispute detail, evidence upload and submission), processor integration, reminders, settlement visibility, ops work queue, reporting, servicing status API.</t>
  </si>
  <si>
    <t xml:space="preserve">Out of scope</t>
  </si>
  <si>
    <t xml:space="preserve">Fraud case management (Phase 2, CR-01), Spanish portal (Phase 2, CR-04), marketplace sub-merchant model, SMS reminders pending CR-09.</t>
  </si>
  <si>
    <t xml:space="preserve">Delivery approach</t>
  </si>
  <si>
    <t xml:space="preserve">Agile delivery in two-week sprints with a pilot-led rollout; governance through sponsor 1:1s, fortnightly steering committee and weekly RAID and change review.</t>
  </si>
  <si>
    <t xml:space="preserve">Key constraints</t>
  </si>
  <si>
    <t xml:space="preserve">Q4 dispute peak limits SME time (R-06); holiday change freeze after go-live; security and compliance gates before launch (D-03, CR-03).</t>
  </si>
  <si>
    <t xml:space="preserve">Success criteria</t>
  </si>
  <si>
    <t xml:space="preserve">MVP live by 11-Dec-2026; pilot exit gates met; base-case KPI targets by mid-2027 (KPI-03 on-time response 95%, KPI-05 handling time 25 min, KPI-06 portal share 70%).</t>
  </si>
  <si>
    <t xml:space="preserve">Phases</t>
  </si>
  <si>
    <t xml:space="preserve">Phase</t>
  </si>
  <si>
    <t xml:space="preserve">Dates</t>
  </si>
  <si>
    <t xml:space="preserve">Focus</t>
  </si>
  <si>
    <t xml:space="preserve">Key outputs</t>
  </si>
  <si>
    <t xml:space="preserve">Discovery</t>
  </si>
  <si>
    <t xml:space="preserve">Jun – Jul 2026</t>
  </si>
  <si>
    <t xml:space="preserve">Merchant and ops research; problem and opportunity sizing</t>
  </si>
  <si>
    <t xml:space="preserve">Discovery findings; MVP scope baseline</t>
  </si>
  <si>
    <t xml:space="preserve">Mobilization and design</t>
  </si>
  <si>
    <t xml:space="preserve">Jul – Aug 2026</t>
  </si>
  <si>
    <t xml:space="preserve">Team setup, solution design, governance, RAID and change control</t>
  </si>
  <si>
    <t xml:space="preserve">Solution design; RAID and change logs; engagement plan</t>
  </si>
  <si>
    <t xml:space="preserve">Build</t>
  </si>
  <si>
    <t xml:space="preserve">20-Jul – 04-Dec 2026</t>
  </si>
  <si>
    <t xml:space="preserve">Sprints 1–10; SIT, security and accessibility testing; UAT</t>
  </si>
  <si>
    <t xml:space="preserve">Working MVP; RTM; KPI definitions; business case</t>
  </si>
  <si>
    <t xml:space="preserve">Launch and pilot</t>
  </si>
  <si>
    <t xml:space="preserve">Dec 2026 – Mar 2027</t>
  </si>
  <si>
    <t xml:space="preserve">Go-live, hypercare, 10-merchant pilot</t>
  </si>
  <si>
    <t xml:space="preserve">Go-live readiness pack; pilot results report</t>
  </si>
  <si>
    <t xml:space="preserve">Scale</t>
  </si>
  <si>
    <t xml:space="preserve">Mar – Dec 2027</t>
  </si>
  <si>
    <t xml:space="preserve">Wave 1, Wave 2, general availability; email intake retirement</t>
  </si>
  <si>
    <t xml:space="preserve">Wave go / no-go packs; benefits tracking</t>
  </si>
  <si>
    <t xml:space="preserve">Engagement team model</t>
  </si>
  <si>
    <t xml:space="preserve">Role</t>
  </si>
  <si>
    <t xml:space="preserve">Organization</t>
  </si>
  <si>
    <t xml:space="preserve">Responsibilities</t>
  </si>
  <si>
    <t xml:space="preserve">Allocation</t>
  </si>
  <si>
    <t xml:space="preserve">Business Sponsor</t>
  </si>
  <si>
    <t xml:space="preserve">Funding, priorities, Medium-impact decisions, sponsor escalations</t>
  </si>
  <si>
    <t xml:space="preserve">As needed</t>
  </si>
  <si>
    <t xml:space="preserve">Engagement Lead</t>
  </si>
  <si>
    <t xml:space="preserve">Overall delivery accountability, sponsor relationship, commercial and quality oversight</t>
  </si>
  <si>
    <t xml:space="preserve">Part time</t>
  </si>
  <si>
    <t xml:space="preserve">Product Owner</t>
  </si>
  <si>
    <t xml:space="preserve">Product vision, backlog ownership, stakeholder alignment, acceptance, KPIs and business case</t>
  </si>
  <si>
    <t xml:space="preserve">Full time</t>
  </si>
  <si>
    <t xml:space="preserve">Project Manager</t>
  </si>
  <si>
    <t xml:space="preserve">Plan, RAID, change control, status reporting, vendor coordination</t>
  </si>
  <si>
    <t xml:space="preserve">Business Analyst</t>
  </si>
  <si>
    <t xml:space="preserve">Requirements, process mapping, acceptance criteria, UAT support</t>
  </si>
  <si>
    <t xml:space="preserve">Tech Lead</t>
  </si>
  <si>
    <t xml:space="preserve">Solution design, engineering delivery, technical risk</t>
  </si>
  <si>
    <t xml:space="preserve">Delivery squads (Portal, Integration, Data)</t>
  </si>
  <si>
    <t xml:space="preserve">Build, test and release MVP features</t>
  </si>
  <si>
    <t xml:space="preserve">QA Lead</t>
  </si>
  <si>
    <t xml:space="preserve">Test strategy, traceability, UAT coordination</t>
  </si>
  <si>
    <t xml:space="preserve">UX Designer</t>
  </si>
  <si>
    <t xml:space="preserve">Research, designs, accessibility</t>
  </si>
  <si>
    <t xml:space="preserve">Client SMEs (Dispute Ops, Finance, Compliance, Servicing)</t>
  </si>
  <si>
    <t xml:space="preserve">Process knowledge, requirement sign-off, UAT execution, readiness</t>
  </si>
  <si>
    <t xml:space="preserve">Part time (bookings agreed)</t>
  </si>
  <si>
    <t xml:space="preserve">Stakeholder Register</t>
  </si>
  <si>
    <t xml:space="preserve">Merchant Payment Operations &amp; Dispute Hub · Simulation project · Stakeholders are roles, not named individuals</t>
  </si>
  <si>
    <t xml:space="preserve">High influence / interest threshold (1–5):</t>
  </si>
  <si>
    <t xml:space="preserve">Grey columns calculate automatically. Engagement gap = desired level − current level.</t>
  </si>
  <si>
    <t xml:space="preserve">Group</t>
  </si>
  <si>
    <t xml:space="preserve">Influence (1-5)</t>
  </si>
  <si>
    <t xml:space="preserve">Interest (1-5)</t>
  </si>
  <si>
    <t xml:space="preserve">Current engagement</t>
  </si>
  <si>
    <t xml:space="preserve">Desired engagement</t>
  </si>
  <si>
    <t xml:space="preserve">Priority score</t>
  </si>
  <si>
    <t xml:space="preserve">Interests and concerns</t>
  </si>
  <si>
    <t xml:space="preserve">Engagement strategy</t>
  </si>
  <si>
    <t xml:space="preserve">Relationship owner</t>
  </si>
  <si>
    <t xml:space="preserve">Frequency</t>
  </si>
  <si>
    <t xml:space="preserve">Channel</t>
  </si>
  <si>
    <t xml:space="preserve">Linked items</t>
  </si>
  <si>
    <t xml:space="preserve">Last contact</t>
  </si>
  <si>
    <t xml:space="preserve">Next action date</t>
  </si>
  <si>
    <t xml:space="preserve">Action overdue?</t>
  </si>
  <si>
    <t xml:space="preserve">h_mc</t>
  </si>
  <si>
    <t xml:space="preserve">h_ks</t>
  </si>
  <si>
    <t xml:space="preserve">h_ki</t>
  </si>
  <si>
    <t xml:space="preserve">h_mon</t>
  </si>
  <si>
    <t xml:space="preserve">h_gap</t>
  </si>
  <si>
    <t xml:space="preserve">SH-01</t>
  </si>
  <si>
    <t xml:space="preserve">Business Sponsor (Head of Merchant Services)</t>
  </si>
  <si>
    <t xml:space="preserve">Merchant Services leadership</t>
  </si>
  <si>
    <t xml:space="preserve">Supportive</t>
  </si>
  <si>
    <t xml:space="preserve">Leading</t>
  </si>
  <si>
    <t xml:space="preserve">Return on investment, go-live date, merchant experience, visible progress for leadership.</t>
  </si>
  <si>
    <t xml:space="preserve">Weekly 1:1; pre-wire every steering committee decision; share business case scenarios early so there are no surprises.</t>
  </si>
  <si>
    <t xml:space="preserve">Weekly</t>
  </si>
  <si>
    <t xml:space="preserve">1:1 meeting</t>
  </si>
  <si>
    <t xml:space="preserve">CR-01, CR-05, Business case</t>
  </si>
  <si>
    <t xml:space="preserve">Pre-wire CR-01 Option C and business case before steering committee</t>
  </si>
  <si>
    <t xml:space="preserve">SH-02</t>
  </si>
  <si>
    <t xml:space="preserve">Steering Committee (finance, technology and risk delegates)</t>
  </si>
  <si>
    <t xml:space="preserve">Executive governance</t>
  </si>
  <si>
    <t xml:space="preserve">Neutral</t>
  </si>
  <si>
    <t xml:space="preserve">Cost against contingency, security and compliance risk, delivery confidence.</t>
  </si>
  <si>
    <t xml:space="preserve">Fortnightly decision papers with clear options and recommendation; show conservative case openly; escalate only decisions that need them.</t>
  </si>
  <si>
    <t xml:space="preserve">Fortnightly</t>
  </si>
  <si>
    <t xml:space="preserve">Steering committee</t>
  </si>
  <si>
    <t xml:space="preserve">D-03, CR-06, Business case</t>
  </si>
  <si>
    <t xml:space="preserve">Circulate pre-read two days before next meeting</t>
  </si>
  <si>
    <t xml:space="preserve">SH-03</t>
  </si>
  <si>
    <t xml:space="preserve">Dispute Ops Lead</t>
  </si>
  <si>
    <t xml:space="preserve">Dispute Operations</t>
  </si>
  <si>
    <t xml:space="preserve">Team workload during Q4 peak, handling time, reliable deadlines for merchants.</t>
  </si>
  <si>
    <t xml:space="preserve">Co-design sessions; make them owner of UAT scenarios and ops readiness; protect SME time during peak (R-06).</t>
  </si>
  <si>
    <t xml:space="preserve">Working session</t>
  </si>
  <si>
    <t xml:space="preserve">R-06, KPI-05, I-02</t>
  </si>
  <si>
    <t xml:space="preserve">Confirm UAT SME bookings for November</t>
  </si>
  <si>
    <t xml:space="preserve">SH-04</t>
  </si>
  <si>
    <t xml:space="preserve">Finance Lead</t>
  </si>
  <si>
    <t xml:space="preserve">Finance</t>
  </si>
  <si>
    <t xml:space="preserve">How dispute outcomes and win rate are defined; whether ops savings are cashable; reconciliation accuracy.</t>
  </si>
  <si>
    <t xml:space="preserve">1:1 using the outcome definitions worked example; involve in KPI sign-off; agree ops capacity treatment before Wave 1.</t>
  </si>
  <si>
    <t xml:space="preserve">CR-05, I-05, LR-17</t>
  </si>
  <si>
    <t xml:space="preserve">Walk through outcome definitions worked example</t>
  </si>
  <si>
    <t xml:space="preserve">SH-05</t>
  </si>
  <si>
    <t xml:space="preserve">Fraud Operations Lead</t>
  </si>
  <si>
    <t xml:space="preserve">Fraud Operations</t>
  </si>
  <si>
    <t xml:space="preserve">Resistant</t>
  </si>
  <si>
    <t xml:space="preserve">Wants fraud case management in the MVP; worried fraud context will be missed on disputes.</t>
  </si>
  <si>
    <t xml:space="preserve">Explain CR-01 options and impact; offer Option C read-only reference in MVP with a Phase 2 roadmap commitment; invite to sprint review.</t>
  </si>
  <si>
    <t xml:space="preserve">CR-01, D-07, R-07</t>
  </si>
  <si>
    <t xml:space="preserve">Share CR-01 impact assessment and Phase 2 roadmap slot</t>
  </si>
  <si>
    <t xml:space="preserve">SH-06</t>
  </si>
  <si>
    <t xml:space="preserve">Compliance Lead</t>
  </si>
  <si>
    <t xml:space="preserve">Compliance</t>
  </si>
  <si>
    <t xml:space="preserve">PCI DSS scope, card data exposure, evidence retention, audit trail.</t>
  </si>
  <si>
    <t xml:space="preserve">Fortnightly checkpoint using the RTM control view; share evidence gaps early; no surprises at go-live.</t>
  </si>
  <si>
    <t xml:space="preserve">Checkpoint meeting</t>
  </si>
  <si>
    <t xml:space="preserve">R-02, CR-03, A-07, CTL-09</t>
  </si>
  <si>
    <t xml:space="preserve">Review CTL-09 retention gap and A-07 timeline</t>
  </si>
  <si>
    <t xml:space="preserve">SH-07</t>
  </si>
  <si>
    <t xml:space="preserve">InfoSec Lead</t>
  </si>
  <si>
    <t xml:space="preserve">Information Security</t>
  </si>
  <si>
    <t xml:space="preserve">Pen test capacity, redaction validation effort, vendor security assessments.</t>
  </si>
  <si>
    <t xml:space="preserve">Share test scope and dates early; ask sponsor to support priority pen test slot; agree redaction validation test set.</t>
  </si>
  <si>
    <t xml:space="preserve">D-03, LR-02, LR-03, R-08</t>
  </si>
  <si>
    <t xml:space="preserve">Request priority pen test slot with sponsor support</t>
  </si>
  <si>
    <t xml:space="preserve">SH-08</t>
  </si>
  <si>
    <t xml:space="preserve">Legal Counsel</t>
  </si>
  <si>
    <t xml:space="preserve">Legal</t>
  </si>
  <si>
    <t xml:space="preserve">Merchant portal terms of use, data retention obligations.</t>
  </si>
  <si>
    <t xml:space="preserve">Book a fixed review slot with a short pre-read highlighting only decisions needed.</t>
  </si>
  <si>
    <t xml:space="preserve">Monthly</t>
  </si>
  <si>
    <t xml:space="preserve">Email and meeting</t>
  </si>
  <si>
    <t xml:space="preserve">D-05, A-07</t>
  </si>
  <si>
    <t xml:space="preserve">Confirm legal review slot for terms of use</t>
  </si>
  <si>
    <t xml:space="preserve">SH-09</t>
  </si>
  <si>
    <t xml:space="preserve">IAM Team Lead</t>
  </si>
  <si>
    <t xml:space="preserve">Identity and Access Management</t>
  </si>
  <si>
    <t xml:space="preserve">Role configuration effort and timing.</t>
  </si>
  <si>
    <t xml:space="preserve">Keep the Tuesday joint checkpoint; confirm acceptance criteria for role setup.</t>
  </si>
  <si>
    <t xml:space="preserve">D-02, A-03</t>
  </si>
  <si>
    <t xml:space="preserve">Confirm role configuration on track for 30-Sep</t>
  </si>
  <si>
    <t xml:space="preserve">SH-10</t>
  </si>
  <si>
    <t xml:space="preserve">Data Engineering Lead</t>
  </si>
  <si>
    <t xml:space="preserve">Data Engineering</t>
  </si>
  <si>
    <t xml:space="preserve">Pipeline capacity, data quality rules, ownership of settlement data issues.</t>
  </si>
  <si>
    <t xml:space="preserve">Agree data quality acceptance rules and exception ownership; include in sprint reviews for reporting stories.</t>
  </si>
  <si>
    <t xml:space="preserve">D-04, R-05, US-033</t>
  </si>
  <si>
    <t xml:space="preserve">Agree pipeline acceptance rules</t>
  </si>
  <si>
    <t xml:space="preserve">SH-11</t>
  </si>
  <si>
    <t xml:space="preserve">Data Governance Lead</t>
  </si>
  <si>
    <t xml:space="preserve">Data Governance</t>
  </si>
  <si>
    <t xml:space="preserve">Personal data in analytics events; approval workload.</t>
  </si>
  <si>
    <t xml:space="preserve">Walk through a privacy-first tracking plan with no personal or card data; ask for conditional approval to unblock pilot metrics.</t>
  </si>
  <si>
    <t xml:space="preserve">Governance forum</t>
  </si>
  <si>
    <t xml:space="preserve">I-06, CTL-04, KPI-08</t>
  </si>
  <si>
    <t xml:space="preserve">Present revised tracking plan for approval</t>
  </si>
  <si>
    <t xml:space="preserve">SH-12</t>
  </si>
  <si>
    <t xml:space="preserve">Customer Servicing Lead</t>
  </si>
  <si>
    <t xml:space="preserve">Customer Servicing</t>
  </si>
  <si>
    <t xml:space="preserve">Agent training time, call volumes after launch, status API readiness.</t>
  </si>
  <si>
    <t xml:space="preserve">Include in readiness huddles from November; share servicing API demo; co-write call scripts.</t>
  </si>
  <si>
    <t xml:space="preserve">Readiness huddle</t>
  </si>
  <si>
    <t xml:space="preserve">D-06, LR-09, KPI-07</t>
  </si>
  <si>
    <t xml:space="preserve">Invite to Sprint 8 review for status API demo</t>
  </si>
  <si>
    <t xml:space="preserve">SH-13</t>
  </si>
  <si>
    <t xml:space="preserve">Merchant Relationship Lead</t>
  </si>
  <si>
    <t xml:space="preserve">Merchant Relationships</t>
  </si>
  <si>
    <t xml:space="preserve">Merchant pushback on change, pilot recruitment, language needs.</t>
  </si>
  <si>
    <t xml:space="preserve">Co-own the GTM plan and pilot recruitment; give RMs an enablement pack and early demo access.</t>
  </si>
  <si>
    <t xml:space="preserve">LR-10, LR-13, CR-04</t>
  </si>
  <si>
    <t xml:space="preserve">Finalize pilot merchant list</t>
  </si>
  <si>
    <t xml:space="preserve">SH-14</t>
  </si>
  <si>
    <t xml:space="preserve">Marketing and Merchant Communications Lead</t>
  </si>
  <si>
    <t xml:space="preserve">Marketing</t>
  </si>
  <si>
    <t xml:space="preserve">Unaware</t>
  </si>
  <si>
    <t xml:space="preserve">Communication lead times, brand approval, channel choice.</t>
  </si>
  <si>
    <t xml:space="preserve">Brief on GTM plan and communications calendar; agree approval lead times.</t>
  </si>
  <si>
    <t xml:space="preserve">Briefing</t>
  </si>
  <si>
    <t xml:space="preserve">LR-11, LR-12</t>
  </si>
  <si>
    <t xml:space="preserve">First briefing on GTM plan</t>
  </si>
  <si>
    <t xml:space="preserve">SH-15</t>
  </si>
  <si>
    <t xml:space="preserve">Payment Processor Account Manager</t>
  </si>
  <si>
    <t xml:space="preserve">Processor (vendor)</t>
  </si>
  <si>
    <t xml:space="preserve">Sandbox stability, production access timelines, integration support effort.</t>
  </si>
  <si>
    <t xml:space="preserve">Weekly vendor call with tracked actions; escalate through sponsor if production access slips further.</t>
  </si>
  <si>
    <t xml:space="preserve">Vendor call</t>
  </si>
  <si>
    <t xml:space="preserve">D-01, I-01, A-02</t>
  </si>
  <si>
    <t xml:space="preserve">Escalate sandbox status defect and production access date</t>
  </si>
  <si>
    <t xml:space="preserve">SH-16</t>
  </si>
  <si>
    <t xml:space="preserve">Document Storage Vendor</t>
  </si>
  <si>
    <t xml:space="preserve">Storage vendor</t>
  </si>
  <si>
    <t xml:space="preserve">Completing the third-party risk assessment.</t>
  </si>
  <si>
    <t xml:space="preserve">Send questionnaire and SOC 2 request early; monitor only.</t>
  </si>
  <si>
    <t xml:space="preserve">Email</t>
  </si>
  <si>
    <t xml:space="preserve">R-08</t>
  </si>
  <si>
    <t xml:space="preserve">Chase security questionnaire</t>
  </si>
  <si>
    <t xml:space="preserve">SH-17</t>
  </si>
  <si>
    <t xml:space="preserve">Pilot merchants (10)</t>
  </si>
  <si>
    <t xml:space="preserve">Merchants</t>
  </si>
  <si>
    <t xml:space="preserve">Ease of use, time saved, confidence their deadlines are safe.</t>
  </si>
  <si>
    <t xml:space="preserve">White-glove onboarding, weekly feedback calls during pilot, visible changes made from their feedback.</t>
  </si>
  <si>
    <t xml:space="preserve">Weekly during pilot</t>
  </si>
  <si>
    <t xml:space="preserve">Onboarding and feedback calls</t>
  </si>
  <si>
    <t xml:space="preserve">A-01, R-04, KPI-08</t>
  </si>
  <si>
    <t xml:space="preserve">Send pilot invitations once terms are approved</t>
  </si>
  <si>
    <t xml:space="preserve">SH-18</t>
  </si>
  <si>
    <t xml:space="preserve">Delivery team</t>
  </si>
  <si>
    <t xml:space="preserve">Clear priorities, fast unblocking, stable scope.</t>
  </si>
  <si>
    <t xml:space="preserve">Sprint ceremonies; blockers raised daily and tracked in RAID; explain every scope change and why.</t>
  </si>
  <si>
    <t xml:space="preserve">Daily</t>
  </si>
  <si>
    <t xml:space="preserve">Stand-up and sprint ceremonies</t>
  </si>
  <si>
    <t xml:space="preserve">I-01, R-07</t>
  </si>
  <si>
    <t xml:space="preserve">Sprint 4 review and retrospective</t>
  </si>
  <si>
    <t xml:space="preserve">RACI Matrix</t>
  </si>
  <si>
    <t xml:space="preserve">Merchant Payment Operations &amp; Dispute Hub · Simulation project · Decision rights align with Change Log thresholds</t>
  </si>
  <si>
    <t xml:space="preserve">Use R, A, C, I or R/A. Each activity needs exactly one A and at least one R; the Check column flags problems.</t>
  </si>
  <si>
    <t xml:space="preserve">Activity or decision</t>
  </si>
  <si>
    <t xml:space="preserve">Area</t>
  </si>
  <si>
    <t xml:space="preserve">Steering Committee</t>
  </si>
  <si>
    <t xml:space="preserve">Servicing Lead</t>
  </si>
  <si>
    <t xml:space="preserve">A count</t>
  </si>
  <si>
    <t xml:space="preserve">R count</t>
  </si>
  <si>
    <t xml:space="preserve">Check</t>
  </si>
  <si>
    <t xml:space="preserve">RA-01</t>
  </si>
  <si>
    <t xml:space="preserve">Approve MVP scope baseline</t>
  </si>
  <si>
    <t xml:space="preserve">Scope</t>
  </si>
  <si>
    <t xml:space="preserve">A</t>
  </si>
  <si>
    <t xml:space="preserve">I</t>
  </si>
  <si>
    <t xml:space="preserve">C</t>
  </si>
  <si>
    <t xml:space="preserve">R</t>
  </si>
  <si>
    <t xml:space="preserve">RA-02</t>
  </si>
  <si>
    <t xml:space="preserve">Prioritize and order the product backlog</t>
  </si>
  <si>
    <t xml:space="preserve">RA-03</t>
  </si>
  <si>
    <t xml:space="preserve">Approve Low-impact change requests</t>
  </si>
  <si>
    <t xml:space="preserve">Change control</t>
  </si>
  <si>
    <t xml:space="preserve">RA-04</t>
  </si>
  <si>
    <t xml:space="preserve">Approve Medium-impact change requests</t>
  </si>
  <si>
    <t xml:space="preserve">RA-05</t>
  </si>
  <si>
    <t xml:space="preserve">Approve High-impact and compliance change requests</t>
  </si>
  <si>
    <t xml:space="preserve">RA-06</t>
  </si>
  <si>
    <t xml:space="preserve">Maintain RAID log and escalate risks</t>
  </si>
  <si>
    <t xml:space="preserve">Governance</t>
  </si>
  <si>
    <t xml:space="preserve">RA-07</t>
  </si>
  <si>
    <t xml:space="preserve">Approve compliance controls and evidence</t>
  </si>
  <si>
    <t xml:space="preserve">RA-08</t>
  </si>
  <si>
    <t xml:space="preserve">Security sign-off for go-live</t>
  </si>
  <si>
    <t xml:space="preserve">RA-09</t>
  </si>
  <si>
    <t xml:space="preserve">Approve analytics tracking plan</t>
  </si>
  <si>
    <t xml:space="preserve">Data</t>
  </si>
  <si>
    <t xml:space="preserve">RA-10</t>
  </si>
  <si>
    <t xml:space="preserve">Approve KPI and dispute outcome definitions</t>
  </si>
  <si>
    <t xml:space="preserve">RA-11</t>
  </si>
  <si>
    <t xml:space="preserve">Execute user acceptance testing</t>
  </si>
  <si>
    <t xml:space="preserve">Quality</t>
  </si>
  <si>
    <t xml:space="preserve">RA-12</t>
  </si>
  <si>
    <t xml:space="preserve">Sign off user acceptance testing</t>
  </si>
  <si>
    <t xml:space="preserve">RA-13</t>
  </si>
  <si>
    <t xml:space="preserve">Go-live and pilot go / no-go decision</t>
  </si>
  <si>
    <t xml:space="preserve">Launch</t>
  </si>
  <si>
    <t xml:space="preserve">RA-14</t>
  </si>
  <si>
    <t xml:space="preserve">Merchant communications and pilot recruitment</t>
  </si>
  <si>
    <t xml:space="preserve">RA-15</t>
  </si>
  <si>
    <t xml:space="preserve">Servicing readiness and agent training</t>
  </si>
  <si>
    <t xml:space="preserve">RA-16</t>
  </si>
  <si>
    <t xml:space="preserve">Business case and benefits tracking</t>
  </si>
  <si>
    <t xml:space="preserve">Value</t>
  </si>
  <si>
    <t xml:space="preserve">RA-17</t>
  </si>
  <si>
    <t xml:space="preserve">Weekly status reporting</t>
  </si>
  <si>
    <t xml:space="preserve">RA-18</t>
  </si>
  <si>
    <t xml:space="preserve">Vendor and third-party escalations</t>
  </si>
  <si>
    <t xml:space="preserve">Accountable for (count)</t>
  </si>
  <si>
    <t xml:space="preserve">Responsible for (count)</t>
  </si>
  <si>
    <t xml:space="preserve">Role load helps spot overload: a role accountable for many decisions may slow the engagement down.</t>
  </si>
  <si>
    <t xml:space="preserve">Governance &amp; Escalation</t>
  </si>
  <si>
    <t xml:space="preserve">Merchant Payment Operations &amp; Dispute Hub · Simulation project · Decision forums, cadence and escalation path</t>
  </si>
  <si>
    <t xml:space="preserve">Update Next date after each meeting. Grey column shows days until the next meeting from the reporting date.</t>
  </si>
  <si>
    <t xml:space="preserve">Attendees</t>
  </si>
  <si>
    <t xml:space="preserve">Day and time</t>
  </si>
  <si>
    <t xml:space="preserve">Inputs</t>
  </si>
  <si>
    <t xml:space="preserve">Next date</t>
  </si>
  <si>
    <t xml:space="preserve">h_next</t>
  </si>
  <si>
    <t xml:space="preserve">Make High-impact decisions; track delivery confidence, budget and compliance risk.</t>
  </si>
  <si>
    <t xml:space="preserve">Steering Committee delegates, Engagement Lead, Product Owner, Project Manager</t>
  </si>
  <si>
    <t xml:space="preserve">Thursday 16:00</t>
  </si>
  <si>
    <t xml:space="preserve">Decision papers, RAID top risks, change log, business case</t>
  </si>
  <si>
    <t xml:space="preserve">Approve High-impact changes, go / no-go decisions, escalations</t>
  </si>
  <si>
    <t xml:space="preserve">Sponsor 1:1</t>
  </si>
  <si>
    <t xml:space="preserve">Pre-wire decisions and keep the sponsor ahead of issues.</t>
  </si>
  <si>
    <t xml:space="preserve">Business Sponsor, Product Owner</t>
  </si>
  <si>
    <t xml:space="preserve">Monday 09:30</t>
  </si>
  <si>
    <t xml:space="preserve">Upcoming decisions, stakeholder issues</t>
  </si>
  <si>
    <t xml:space="preserve">Medium-impact change decisions; escalation support</t>
  </si>
  <si>
    <t xml:space="preserve">Weekly status and RAID / change review</t>
  </si>
  <si>
    <t xml:space="preserve">Review progress, RAID items and pending change requests.</t>
  </si>
  <si>
    <t xml:space="preserve">Product Owner, Tech Lead, workstream leads</t>
  </si>
  <si>
    <t xml:space="preserve">Wednesday 11:00</t>
  </si>
  <si>
    <t xml:space="preserve">Status report, RAID log, change log</t>
  </si>
  <si>
    <t xml:space="preserve">Owners and dates for actions; items to escalate</t>
  </si>
  <si>
    <t xml:space="preserve">Sprint review</t>
  </si>
  <si>
    <t xml:space="preserve">Demo the increment and gather stakeholder feedback.</t>
  </si>
  <si>
    <t xml:space="preserve">Delivery squads, Dispute Ops Lead, Finance Lead, interested stakeholders</t>
  </si>
  <si>
    <t xml:space="preserve">Every 2 weeks</t>
  </si>
  <si>
    <t xml:space="preserve">Friday 14:00 (sprint end)</t>
  </si>
  <si>
    <t xml:space="preserve">Done stories, sprint goal</t>
  </si>
  <si>
    <t xml:space="preserve">Accepted stories; backlog changes</t>
  </si>
  <si>
    <t xml:space="preserve">Sprint planning</t>
  </si>
  <si>
    <t xml:space="preserve">Agree sprint goal and commitment.</t>
  </si>
  <si>
    <t xml:space="preserve">Delivery squads, Tech Lead</t>
  </si>
  <si>
    <t xml:space="preserve">Monday 10:00 (sprint start)</t>
  </si>
  <si>
    <t xml:space="preserve">Ready backlog items, capacity</t>
  </si>
  <si>
    <t xml:space="preserve">Sprint goal and committed items</t>
  </si>
  <si>
    <t xml:space="preserve">Backlog refinement</t>
  </si>
  <si>
    <t xml:space="preserve">Keep the next two sprints Ready.</t>
  </si>
  <si>
    <t xml:space="preserve">Tech Lead, BA, squad representatives, SMEs as needed</t>
  </si>
  <si>
    <t xml:space="preserve">Tuesday 14:00</t>
  </si>
  <si>
    <t xml:space="preserve">Upcoming stories, designs, dependencies</t>
  </si>
  <si>
    <t xml:space="preserve">Refined and estimated stories</t>
  </si>
  <si>
    <t xml:space="preserve">Design authority</t>
  </si>
  <si>
    <t xml:space="preserve">Approve designs and architecture decisions.</t>
  </si>
  <si>
    <t xml:space="preserve">Product Owner, UX Designer, InfoSec Lead, Dispute Ops Lead</t>
  </si>
  <si>
    <t xml:space="preserve">Tuesday 16:00</t>
  </si>
  <si>
    <t xml:space="preserve">Figma designs, solution design changes</t>
  </si>
  <si>
    <t xml:space="preserve">Design sign-off (I-03); architecture decisions</t>
  </si>
  <si>
    <t xml:space="preserve">Compliance and security checkpoint</t>
  </si>
  <si>
    <t xml:space="preserve">Track controls, evidence and security testing.</t>
  </si>
  <si>
    <t xml:space="preserve">InfoSec Lead, Legal Counsel, Product Owner, QA Lead</t>
  </si>
  <si>
    <t xml:space="preserve">Wednesday 15:00</t>
  </si>
  <si>
    <t xml:space="preserve">RTM control view, test results, pen test plan</t>
  </si>
  <si>
    <t xml:space="preserve">Evidence gaps closed; compliance risks escalated</t>
  </si>
  <si>
    <t xml:space="preserve">Outcome definitions decision meeting</t>
  </si>
  <si>
    <t xml:space="preserve">Decide how dispute outcomes and win rate are defined (CR-05).</t>
  </si>
  <si>
    <t xml:space="preserve">Finance Lead, Dispute Ops Lead, Product Owner</t>
  </si>
  <si>
    <t xml:space="preserve">One-off</t>
  </si>
  <si>
    <t xml:space="preserve">Thursday 10:00</t>
  </si>
  <si>
    <t xml:space="preserve">KPI outcome definitions worked example, CR-05</t>
  </si>
  <si>
    <t xml:space="preserve">CR-05 decision; KPI-01 and KPI-02 status updated</t>
  </si>
  <si>
    <t xml:space="preserve">Data governance forum</t>
  </si>
  <si>
    <t xml:space="preserve">Approve data use, analytics tracking and data quality rules.</t>
  </si>
  <si>
    <t xml:space="preserve">Product Owner, Data Engineering Lead, Compliance Lead</t>
  </si>
  <si>
    <t xml:space="preserve">First Thursday 13:00</t>
  </si>
  <si>
    <t xml:space="preserve">Tracking plan, data dictionary</t>
  </si>
  <si>
    <t xml:space="preserve">Tracking plan approval (I-06)</t>
  </si>
  <si>
    <t xml:space="preserve">Processor vendor sync</t>
  </si>
  <si>
    <t xml:space="preserve">Resolve sandbox issues and track production access.</t>
  </si>
  <si>
    <t xml:space="preserve">Processor account manager, Tech Lead</t>
  </si>
  <si>
    <t xml:space="preserve">Tuesday 17:00</t>
  </si>
  <si>
    <t xml:space="preserve">Vendor action log, defects</t>
  </si>
  <si>
    <t xml:space="preserve">Vendor actions and dates; escalation if dates slip</t>
  </si>
  <si>
    <t xml:space="preserve">Ops and servicing readiness huddle</t>
  </si>
  <si>
    <t xml:space="preserve">Prepare dispute ops and servicing for launch.</t>
  </si>
  <si>
    <t xml:space="preserve">Servicing Lead, Product Owner, trainers</t>
  </si>
  <si>
    <t xml:space="preserve">Weekly from November</t>
  </si>
  <si>
    <t xml:space="preserve">Monday 15:00</t>
  </si>
  <si>
    <t xml:space="preserve">Launch readiness checklist</t>
  </si>
  <si>
    <t xml:space="preserve">Training and process readiness actions</t>
  </si>
  <si>
    <t xml:space="preserve">Pilot merchant feedback call</t>
  </si>
  <si>
    <t xml:space="preserve">Hear pilot merchant experience and track exit gates.</t>
  </si>
  <si>
    <t xml:space="preserve">Pilot merchants, Product Owner</t>
  </si>
  <si>
    <t xml:space="preserve">Friday 11:00</t>
  </si>
  <si>
    <t xml:space="preserve">Pilot KPIs, feedback log</t>
  </si>
  <si>
    <t xml:space="preserve">Backlog changes; pilot issues escalated</t>
  </si>
  <si>
    <t xml:space="preserve">Escalation path</t>
  </si>
  <si>
    <t xml:space="preserve">Escalate to</t>
  </si>
  <si>
    <t xml:space="preserve">Trigger</t>
  </si>
  <si>
    <t xml:space="preserve">How</t>
  </si>
  <si>
    <t xml:space="preserve">Response time</t>
  </si>
  <si>
    <t xml:space="preserve">Level 1</t>
  </si>
  <si>
    <t xml:space="preserve">Workstream owner</t>
  </si>
  <si>
    <t xml:space="preserve">Issue can be resolved within the team or sprint</t>
  </si>
  <si>
    <t xml:space="preserve">Owner resolves and records in RAID</t>
  </si>
  <si>
    <t xml:space="preserve">2 business days</t>
  </si>
  <si>
    <t xml:space="preserve">Level 2</t>
  </si>
  <si>
    <t xml:space="preserve">Product Owner and Project Manager</t>
  </si>
  <si>
    <t xml:space="preserve">Affects a sprint goal, a cross-team dependency or a Low-impact change</t>
  </si>
  <si>
    <t xml:space="preserve">Raised at weekly status and RAID / change review</t>
  </si>
  <si>
    <t xml:space="preserve">3 business days</t>
  </si>
  <si>
    <t xml:space="preserve">Level 3</t>
  </si>
  <si>
    <t xml:space="preserve">Medium-impact change; dependency slip threatening a milestone; unresolved stakeholder conflict</t>
  </si>
  <si>
    <t xml:space="preserve">Raised at sponsor 1:1 with options and a recommendation</t>
  </si>
  <si>
    <t xml:space="preserve">5 business days</t>
  </si>
  <si>
    <t xml:space="preserve">Level 4</t>
  </si>
  <si>
    <t xml:space="preserve">High-impact change; go-live, budget beyond contingency or compliance at risk</t>
  </si>
  <si>
    <t xml:space="preserve">Decision paper at next steering committee, or ad hoc meeting within 48 hours if critical</t>
  </si>
  <si>
    <t xml:space="preserve">Next meeting or 48 hours</t>
  </si>
  <si>
    <t xml:space="preserve">Communication Plan</t>
  </si>
  <si>
    <t xml:space="preserve">Update Next send date and Status after each communication.</t>
  </si>
  <si>
    <t xml:space="preserve">Communication</t>
  </si>
  <si>
    <t xml:space="preserve">Audience</t>
  </si>
  <si>
    <t xml:space="preserve">Artifact</t>
  </si>
  <si>
    <t xml:space="preserve">Next send date</t>
  </si>
  <si>
    <t xml:space="preserve">Due in (days)</t>
  </si>
  <si>
    <t xml:space="preserve">CM-01</t>
  </si>
  <si>
    <t xml:space="preserve">Weekly status report</t>
  </si>
  <si>
    <t xml:space="preserve">Business Sponsor, steering committee delegates, workstream leads</t>
  </si>
  <si>
    <t xml:space="preserve">Progress, RAG status, top risks and decisions needed</t>
  </si>
  <si>
    <t xml:space="preserve">Email and Confluence</t>
  </si>
  <si>
    <t xml:space="preserve">Weekly (Friday)</t>
  </si>
  <si>
    <t xml:space="preserve">One-page status report</t>
  </si>
  <si>
    <t xml:space="preserve">Active</t>
  </si>
  <si>
    <t xml:space="preserve">CM-02</t>
  </si>
  <si>
    <t xml:space="preserve">Steering committee pack</t>
  </si>
  <si>
    <t xml:space="preserve">Decisions with options, business case view, top RAID items</t>
  </si>
  <si>
    <t xml:space="preserve">Pre-read and meeting</t>
  </si>
  <si>
    <t xml:space="preserve">Decision paper and short deck</t>
  </si>
  <si>
    <t xml:space="preserve">CM-03</t>
  </si>
  <si>
    <t xml:space="preserve">Sprint review demo</t>
  </si>
  <si>
    <t xml:space="preserve">Business stakeholders, dispute ops, finance</t>
  </si>
  <si>
    <t xml:space="preserve">Show working software and collect feedback</t>
  </si>
  <si>
    <t xml:space="preserve">Live demo</t>
  </si>
  <si>
    <t xml:space="preserve">Demo and review notes</t>
  </si>
  <si>
    <t xml:space="preserve">CM-04</t>
  </si>
  <si>
    <t xml:space="preserve">RAID and change digest</t>
  </si>
  <si>
    <t xml:space="preserve">Workstream leads</t>
  </si>
  <si>
    <t xml:space="preserve">New or escalated items and pending decisions</t>
  </si>
  <si>
    <t xml:space="preserve">Confluence page and Slack</t>
  </si>
  <si>
    <t xml:space="preserve">RAID and change log extract</t>
  </si>
  <si>
    <t xml:space="preserve">CM-05</t>
  </si>
  <si>
    <t xml:space="preserve">Decision memo: dispute outcome definitions</t>
  </si>
  <si>
    <t xml:space="preserve">Finance Lead, Dispute Ops Lead, Business Sponsor</t>
  </si>
  <si>
    <t xml:space="preserve">Present CR-05 options and recommendation</t>
  </si>
  <si>
    <t xml:space="preserve">Memo and meeting</t>
  </si>
  <si>
    <t xml:space="preserve">Decision memo with worked example</t>
  </si>
  <si>
    <t xml:space="preserve">In Preparation</t>
  </si>
  <si>
    <t xml:space="preserve">CM-06</t>
  </si>
  <si>
    <t xml:space="preserve">Compliance and security update</t>
  </si>
  <si>
    <t xml:space="preserve">Compliance Lead, InfoSec Lead, Legal Counsel</t>
  </si>
  <si>
    <t xml:space="preserve">Control status and evidence gaps</t>
  </si>
  <si>
    <t xml:space="preserve">RTM control assurance view</t>
  </si>
  <si>
    <t xml:space="preserve">CM-07</t>
  </si>
  <si>
    <t xml:space="preserve">Delivery team updates</t>
  </si>
  <si>
    <t xml:space="preserve">Delivery squads</t>
  </si>
  <si>
    <t xml:space="preserve">Priorities, blockers and scope changes</t>
  </si>
  <si>
    <t xml:space="preserve">Stand-up and Slack</t>
  </si>
  <si>
    <t xml:space="preserve">Sprint board</t>
  </si>
  <si>
    <t xml:space="preserve">CM-08</t>
  </si>
  <si>
    <t xml:space="preserve">Ops and servicing readiness bulletin</t>
  </si>
  <si>
    <t xml:space="preserve">Dispute ops analysts, servicing agents</t>
  </si>
  <si>
    <t xml:space="preserve">Training dates and process changes</t>
  </si>
  <si>
    <t xml:space="preserve">Dispute Ops Lead and Servicing Lead</t>
  </si>
  <si>
    <t xml:space="preserve">Email and huddle</t>
  </si>
  <si>
    <t xml:space="preserve">Readiness bulletin</t>
  </si>
  <si>
    <t xml:space="preserve">Planned</t>
  </si>
  <si>
    <t xml:space="preserve">CM-09</t>
  </si>
  <si>
    <t xml:space="preserve">Relationship manager briefing</t>
  </si>
  <si>
    <t xml:space="preserve">Relationship managers</t>
  </si>
  <si>
    <t xml:space="preserve">Pilot plan, messaging and objection handling</t>
  </si>
  <si>
    <t xml:space="preserve">Team meeting</t>
  </si>
  <si>
    <t xml:space="preserve">Monthly, weekly from November</t>
  </si>
  <si>
    <t xml:space="preserve">RM enablement pack</t>
  </si>
  <si>
    <t xml:space="preserve">CM-10</t>
  </si>
  <si>
    <t xml:space="preserve">Pilot merchant invitation and onboarding</t>
  </si>
  <si>
    <t xml:space="preserve">Pilot merchants</t>
  </si>
  <si>
    <t xml:space="preserve">Invitation, what to expect and how to start</t>
  </si>
  <si>
    <t xml:space="preserve">Merchant Relationship Lead and Marketing Lead</t>
  </si>
  <si>
    <t xml:space="preserve">Email and onboarding call</t>
  </si>
  <si>
    <t xml:space="preserve">One-off, then weekly during pilot</t>
  </si>
  <si>
    <t xml:space="preserve">Invitation and welcome emails; onboarding guide</t>
  </si>
  <si>
    <t xml:space="preserve">CM-11</t>
  </si>
  <si>
    <t xml:space="preserve">Pilot results report</t>
  </si>
  <si>
    <t xml:space="preserve">Business Sponsor, Steering Committee</t>
  </si>
  <si>
    <t xml:space="preserve">Exit gate results and Wave 1 recommendation</t>
  </si>
  <si>
    <t xml:space="preserve">Report and steering committee</t>
  </si>
  <si>
    <t xml:space="preserve">Once at pilot end</t>
  </si>
  <si>
    <t xml:space="preserve">CM-12</t>
  </si>
  <si>
    <t xml:space="preserve">Vendor escalation note</t>
  </si>
  <si>
    <t xml:space="preserve">Processor account manager</t>
  </si>
  <si>
    <t xml:space="preserve">Production access and sandbox defect escalation</t>
  </si>
  <si>
    <t xml:space="preserve">Email and vendor call</t>
  </si>
  <si>
    <t xml:space="preserve">Escalation note with dates and impact</t>
  </si>
  <si>
    <t xml:space="preserve">Deliverables &amp; Milestones</t>
  </si>
  <si>
    <t xml:space="preserve">Update Status as deliverables move through review and approval.</t>
  </si>
  <si>
    <t xml:space="preserve">Description</t>
  </si>
  <si>
    <t xml:space="preserve">Due date</t>
  </si>
  <si>
    <t xml:space="preserve">Linked artifact</t>
  </si>
  <si>
    <t xml:space="preserve">h_due</t>
  </si>
  <si>
    <t xml:space="preserve">DL-01</t>
  </si>
  <si>
    <t xml:space="preserve">Discovery findings and problem statement</t>
  </si>
  <si>
    <t xml:space="preserve">Merchant and ops pain points, current process, opportunity sizing</t>
  </si>
  <si>
    <t xml:space="preserve">Approved</t>
  </si>
  <si>
    <t xml:space="preserve">Discovery pack</t>
  </si>
  <si>
    <t xml:space="preserve">DL-02</t>
  </si>
  <si>
    <t xml:space="preserve">MVP scope baseline</t>
  </si>
  <si>
    <t xml:space="preserve">Agreed MVP scope, out-of-scope items and assumptions</t>
  </si>
  <si>
    <t xml:space="preserve">Product_Backlog workbook</t>
  </si>
  <si>
    <t xml:space="preserve">DL-03</t>
  </si>
  <si>
    <t xml:space="preserve">Solution design</t>
  </si>
  <si>
    <t xml:space="preserve">Architecture, integrations, data model and security design</t>
  </si>
  <si>
    <t xml:space="preserve">Solution design document</t>
  </si>
  <si>
    <t xml:space="preserve">DL-04</t>
  </si>
  <si>
    <t xml:space="preserve">RAID log</t>
  </si>
  <si>
    <t xml:space="preserve">Risks, assumptions, issues and dependencies with owners</t>
  </si>
  <si>
    <t xml:space="preserve">Live document</t>
  </si>
  <si>
    <t xml:space="preserve">RAID_Log workbook</t>
  </si>
  <si>
    <t xml:space="preserve">DL-05</t>
  </si>
  <si>
    <t xml:space="preserve">Change log</t>
  </si>
  <si>
    <t xml:space="preserve">Change requests, impact assessments and decisions</t>
  </si>
  <si>
    <t xml:space="preserve">Change_Log workbook</t>
  </si>
  <si>
    <t xml:space="preserve">DL-06</t>
  </si>
  <si>
    <t xml:space="preserve">Product backlog, epics and sprint plan</t>
  </si>
  <si>
    <t xml:space="preserve">Ordered backlog with acceptance criteria and sprint plan</t>
  </si>
  <si>
    <t xml:space="preserve">DL-07</t>
  </si>
  <si>
    <t xml:space="preserve">Figma MVP designs</t>
  </si>
  <si>
    <t xml:space="preserve">Merchant inbox, dispute detail and evidence upload screens</t>
  </si>
  <si>
    <t xml:space="preserve">In Review</t>
  </si>
  <si>
    <t xml:space="preserve">Figma file (I-03)</t>
  </si>
  <si>
    <t xml:space="preserve">DL-08</t>
  </si>
  <si>
    <t xml:space="preserve">Requirements traceability matrix</t>
  </si>
  <si>
    <t xml:space="preserve">Requirements traced to stories, tests, defects and controls</t>
  </si>
  <si>
    <t xml:space="preserve">Product Owner and QA Lead</t>
  </si>
  <si>
    <t xml:space="preserve">RTM workbook</t>
  </si>
  <si>
    <t xml:space="preserve">DL-09</t>
  </si>
  <si>
    <t xml:space="preserve">KPI and metrics definitions</t>
  </si>
  <si>
    <t xml:space="preserve">Metric catalog, outcome definitions and data dictionary</t>
  </si>
  <si>
    <t xml:space="preserve">KPI_Definitions workbook</t>
  </si>
  <si>
    <t xml:space="preserve">DL-10</t>
  </si>
  <si>
    <t xml:space="preserve">Business case and GTM plan</t>
  </si>
  <si>
    <t xml:space="preserve">Three-scenario business case, rollout plan and launch readiness</t>
  </si>
  <si>
    <t xml:space="preserve">Business_Case_GTM workbook</t>
  </si>
  <si>
    <t xml:space="preserve">DL-11</t>
  </si>
  <si>
    <t xml:space="preserve">Stakeholder engagement plan</t>
  </si>
  <si>
    <t xml:space="preserve">Stakeholder register, RACI, governance and communications</t>
  </si>
  <si>
    <t xml:space="preserve">Product Owner and Engagement Lead</t>
  </si>
  <si>
    <t xml:space="preserve">This workbook</t>
  </si>
  <si>
    <t xml:space="preserve">DL-12</t>
  </si>
  <si>
    <t xml:space="preserve">UAT plan and scripts</t>
  </si>
  <si>
    <t xml:space="preserve">UAT scope, entry and exit criteria, scripts and schedule</t>
  </si>
  <si>
    <t xml:space="preserve">Not Started</t>
  </si>
  <si>
    <t xml:space="preserve">RTM workbook (UAT test cases)</t>
  </si>
  <si>
    <t xml:space="preserve">DL-13</t>
  </si>
  <si>
    <t xml:space="preserve">Go-live readiness pack</t>
  </si>
  <si>
    <t xml:space="preserve">Launch readiness evidence for go / no-go</t>
  </si>
  <si>
    <t xml:space="preserve">Business_Case_GTM workbook (Launch Readiness)</t>
  </si>
  <si>
    <t xml:space="preserve">DL-14</t>
  </si>
  <si>
    <t xml:space="preserve">Hypercare exit and BAU handover plan</t>
  </si>
  <si>
    <t xml:space="preserve">Support model, runbooks and ownership after hypercare</t>
  </si>
  <si>
    <t xml:space="preserve">DL-15</t>
  </si>
  <si>
    <t xml:space="preserve">Pilot</t>
  </si>
  <si>
    <t xml:space="preserve">Pilot exit gate results and recommendation</t>
  </si>
  <si>
    <t xml:space="preserve">DL-16</t>
  </si>
  <si>
    <t xml:space="preserve">Wave 1 go / no-go pack</t>
  </si>
  <si>
    <t xml:space="preserve">Readiness and business case refresh for Wave 1</t>
  </si>
</sst>
</file>

<file path=xl/styles.xml><?xml version="1.0" encoding="utf-8"?>
<styleSheet xmlns="http://schemas.openxmlformats.org/spreadsheetml/2006/main">
  <numFmts count="4">
    <numFmt numFmtId="164" formatCode="General"/>
    <numFmt numFmtId="165" formatCode="dd\-mmm\-yyyy"/>
    <numFmt numFmtId="166" formatCode="General"/>
    <numFmt numFmtId="167" formatCode="mm/dd/yy"/>
  </numFmts>
  <fonts count="26">
    <font>
      <sz val="11"/>
      <color theme="1"/>
      <name val="Calibri"/>
      <family val="2"/>
      <charset val="1"/>
    </font>
    <font>
      <sz val="10"/>
      <name val="Arial"/>
      <family val="0"/>
    </font>
    <font>
      <sz val="10"/>
      <name val="Arial"/>
      <family val="0"/>
    </font>
    <font>
      <sz val="10"/>
      <name val="Arial"/>
      <family val="0"/>
    </font>
    <font>
      <b val="true"/>
      <sz val="24"/>
      <color rgb="FF1F3A5F"/>
      <name val="Arial"/>
      <family val="0"/>
      <charset val="1"/>
    </font>
    <font>
      <b val="true"/>
      <sz val="14"/>
      <color rgb="FF2E7D8C"/>
      <name val="Arial"/>
      <family val="0"/>
      <charset val="1"/>
    </font>
    <font>
      <b val="true"/>
      <sz val="10"/>
      <color rgb="FF1F3A5F"/>
      <name val="Arial"/>
      <family val="0"/>
      <charset val="1"/>
    </font>
    <font>
      <sz val="10"/>
      <color rgb="FF000000"/>
      <name val="Arial"/>
      <family val="0"/>
      <charset val="1"/>
    </font>
    <font>
      <i val="true"/>
      <sz val="10"/>
      <color rgb="FF9C0006"/>
      <name val="Arial"/>
      <family val="0"/>
      <charset val="1"/>
    </font>
    <font>
      <b val="true"/>
      <sz val="12"/>
      <color rgb="FFFFFFFF"/>
      <name val="Arial"/>
      <family val="0"/>
      <charset val="1"/>
    </font>
    <font>
      <b val="true"/>
      <sz val="10"/>
      <color rgb="FF000000"/>
      <name val="Arial"/>
      <family val="0"/>
      <charset val="1"/>
    </font>
    <font>
      <i val="true"/>
      <sz val="9"/>
      <color rgb="FF7F7F7F"/>
      <name val="Arial"/>
      <family val="0"/>
      <charset val="1"/>
    </font>
    <font>
      <b val="true"/>
      <sz val="18"/>
      <color rgb="FF1F3A5F"/>
      <name val="Arial"/>
      <family val="0"/>
      <charset val="1"/>
    </font>
    <font>
      <i val="true"/>
      <sz val="10"/>
      <color rgb="FF595959"/>
      <name val="Arial"/>
      <family val="0"/>
      <charset val="1"/>
    </font>
    <font>
      <b val="true"/>
      <sz val="14"/>
      <color rgb="FF1F3A5F"/>
      <name val="Arial"/>
      <family val="0"/>
      <charset val="1"/>
    </font>
    <font>
      <b val="true"/>
      <sz val="14"/>
      <color rgb="FF9C0006"/>
      <name val="Arial"/>
      <family val="0"/>
      <charset val="1"/>
    </font>
    <font>
      <b val="true"/>
      <sz val="9"/>
      <color rgb="FF000000"/>
      <name val="Arial"/>
      <family val="0"/>
      <charset val="1"/>
    </font>
    <font>
      <b val="true"/>
      <sz val="10"/>
      <color rgb="FF9C5700"/>
      <name val="Arial"/>
      <family val="0"/>
      <charset val="1"/>
    </font>
    <font>
      <b val="true"/>
      <sz val="10"/>
      <color rgb="FF9C0006"/>
      <name val="Arial"/>
      <family val="0"/>
      <charset val="1"/>
    </font>
    <font>
      <i val="true"/>
      <sz val="9"/>
      <color rgb="FF595959"/>
      <name val="Arial"/>
      <family val="0"/>
      <charset val="1"/>
    </font>
    <font>
      <sz val="9"/>
      <color rgb="FF000000"/>
      <name val="Arial"/>
      <family val="0"/>
      <charset val="1"/>
    </font>
    <font>
      <b val="true"/>
      <sz val="10"/>
      <color rgb="FF595959"/>
      <name val="Arial"/>
      <family val="0"/>
      <charset val="1"/>
    </font>
    <font>
      <b val="true"/>
      <sz val="10"/>
      <color rgb="FF1F4E78"/>
      <name val="Arial"/>
      <family val="0"/>
      <charset val="1"/>
    </font>
    <font>
      <b val="true"/>
      <sz val="16"/>
      <color rgb="FF1F3A5F"/>
      <name val="Arial"/>
      <family val="0"/>
      <charset val="1"/>
    </font>
    <font>
      <b val="true"/>
      <sz val="10"/>
      <color rgb="FF0000FF"/>
      <name val="Arial"/>
      <family val="0"/>
      <charset val="1"/>
    </font>
    <font>
      <b val="true"/>
      <sz val="10"/>
      <color rgb="FFFFFFFF"/>
      <name val="Arial"/>
      <family val="0"/>
      <charset val="1"/>
    </font>
  </fonts>
  <fills count="11">
    <fill>
      <patternFill patternType="none"/>
    </fill>
    <fill>
      <patternFill patternType="gray125"/>
    </fill>
    <fill>
      <patternFill patternType="solid">
        <fgColor rgb="FF1F3A5F"/>
        <bgColor rgb="FF1F4E78"/>
      </patternFill>
    </fill>
    <fill>
      <patternFill patternType="solid">
        <fgColor rgb="FFD9D9D9"/>
        <bgColor rgb="FFDDEBF7"/>
      </patternFill>
    </fill>
    <fill>
      <patternFill patternType="solid">
        <fgColor rgb="FFFFEB9C"/>
        <bgColor rgb="FFFFF2CC"/>
      </patternFill>
    </fill>
    <fill>
      <patternFill patternType="solid">
        <fgColor rgb="FFFFC7CE"/>
        <bgColor rgb="FFD9D9D9"/>
      </patternFill>
    </fill>
    <fill>
      <patternFill patternType="solid">
        <fgColor rgb="FFEDEDED"/>
        <bgColor rgb="FFF2F2F2"/>
      </patternFill>
    </fill>
    <fill>
      <patternFill patternType="solid">
        <fgColor rgb="FFDDEBF7"/>
        <bgColor rgb="FFEDEDED"/>
      </patternFill>
    </fill>
    <fill>
      <patternFill patternType="solid">
        <fgColor rgb="FFFFF2CC"/>
        <bgColor rgb="FFF2F2F2"/>
      </patternFill>
    </fill>
    <fill>
      <patternFill patternType="solid">
        <fgColor rgb="FF2E7D8C"/>
        <bgColor rgb="FF008080"/>
      </patternFill>
    </fill>
    <fill>
      <patternFill patternType="solid">
        <fgColor rgb="FFF2F2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5"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4" fillId="8" borderId="1" xfId="0" applyFont="true" applyBorder="true" applyAlignment="true" applyProtection="false">
      <alignment horizontal="center" vertical="top" textRotation="0" wrapText="true" indent="0" shrinkToFit="false"/>
      <protection locked="true" hidden="false"/>
    </xf>
    <xf numFmtId="164" fontId="25" fillId="2" borderId="1" xfId="0" applyFont="true" applyBorder="true" applyAlignment="true" applyProtection="false">
      <alignment horizontal="center" vertical="center" textRotation="0" wrapText="true" indent="0" shrinkToFit="false"/>
      <protection locked="true" hidden="false"/>
    </xf>
    <xf numFmtId="164" fontId="25"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6" fontId="7" fillId="10" borderId="1" xfId="0" applyFont="true" applyBorder="true" applyAlignment="true" applyProtection="false">
      <alignment horizontal="center" vertical="top" textRotation="0" wrapText="true" indent="0" shrinkToFit="false"/>
      <protection locked="true" hidden="false"/>
    </xf>
    <xf numFmtId="166" fontId="7" fillId="1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6" fontId="10" fillId="1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7" fontId="7" fillId="1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b val="1"/>
        <color rgb="FF595959"/>
        <sz val="10"/>
      </font>
      <fill>
        <patternFill>
          <bgColor rgb="FFEDEDED"/>
        </patternFill>
      </fill>
    </dxf>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7D8C"/>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1F4E78"/>
          <bgColor rgb="FF000000"/>
        </patternFill>
      </fill>
    </dxf>
    <dxf>
      <fill>
        <patternFill patternType="solid">
          <fgColor rgb="FF595959"/>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F2F2F2"/>
          <bgColor rgb="FF000000"/>
        </patternFill>
      </fill>
    </dxf>
    <dxf>
      <font>
        <name val="Arial"/>
        <charset val="1"/>
        <family val="0"/>
        <b val="1"/>
        <color rgb="FF1F4E78"/>
        <sz val="10"/>
      </font>
      <fill>
        <patternFill>
          <bgColor rgb="FFDDEBF7"/>
        </patternFill>
      </fill>
    </dxf>
    <dxf>
      <font>
        <name val="Arial"/>
        <charset val="1"/>
        <family val="0"/>
        <b val="1"/>
        <color rgb="FF006100"/>
        <sz val="10"/>
      </font>
      <fill>
        <patternFill>
          <bgColor rgb="FFC6EFCE"/>
        </patternFill>
      </fill>
    </dxf>
    <dxf>
      <font>
        <name val="Arial"/>
        <charset val="1"/>
        <family val="0"/>
        <b val="1"/>
        <color rgb="FFFFFFFF"/>
        <sz val="10"/>
      </font>
      <fill>
        <patternFill>
          <bgColor rgb="FF1F3A5F"/>
        </patternFill>
      </fill>
    </dxf>
    <dxf>
      <font>
        <name val="Arial"/>
        <charset val="1"/>
        <family val="0"/>
        <b val="1"/>
        <color rgb="FF1F3A5F"/>
        <sz val="10"/>
      </font>
      <fill>
        <patternFill>
          <bgColor rgb="FF9DC3E6"/>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DC3E6"/>
      <rgbColor rgb="FFEDEDED"/>
      <rgbColor rgb="FFCC99FF"/>
      <rgbColor rgb="FFFFC7CE"/>
      <rgbColor rgb="FF3366FF"/>
      <rgbColor rgb="FF33CCCC"/>
      <rgbColor rgb="FF99CC00"/>
      <rgbColor rgb="FFFFCC00"/>
      <rgbColor rgb="FFFF9900"/>
      <rgbColor rgb="FFFF6600"/>
      <rgbColor rgb="FF595959"/>
      <rgbColor rgb="FF969696"/>
      <rgbColor rgb="FF1F3A5F"/>
      <rgbColor rgb="FF2E7D8C"/>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7" min="3" style="0" width="20"/>
  </cols>
  <sheetData>
    <row r="2" customFormat="false" ht="29.15" hidden="false" customHeight="false" outlineLevel="0" collapsed="false">
      <c r="B2" s="1" t="s">
        <v>0</v>
      </c>
    </row>
    <row r="3" customFormat="false" ht="17.35" hidden="false" customHeight="false" outlineLevel="0" collapsed="false">
      <c r="B3" s="2" t="s">
        <v>1</v>
      </c>
    </row>
    <row r="5" customFormat="false" ht="30" hidden="false" customHeight="true" outlineLevel="0" collapsed="false">
      <c r="B5" s="3" t="s">
        <v>2</v>
      </c>
      <c r="C5" s="4" t="s">
        <v>3</v>
      </c>
      <c r="D5" s="4"/>
      <c r="E5" s="4"/>
      <c r="F5" s="4"/>
      <c r="G5" s="4"/>
    </row>
    <row r="6" customFormat="false" ht="15" hidden="false" customHeight="true" outlineLevel="0" collapsed="false">
      <c r="B6" s="3" t="s">
        <v>4</v>
      </c>
      <c r="C6" s="4" t="s">
        <v>5</v>
      </c>
      <c r="D6" s="4"/>
      <c r="E6" s="4"/>
      <c r="F6" s="4"/>
      <c r="G6" s="4"/>
    </row>
    <row r="7" customFormat="false" ht="15" hidden="false" customHeight="false" outlineLevel="0" collapsed="false">
      <c r="B7" s="3" t="s">
        <v>6</v>
      </c>
      <c r="C7" s="5" t="n">
        <v>46275</v>
      </c>
      <c r="D7" s="5"/>
      <c r="E7" s="5"/>
      <c r="F7" s="5"/>
      <c r="G7" s="5"/>
    </row>
    <row r="8" customFormat="false" ht="15" hidden="false" customHeight="true" outlineLevel="0" collapsed="false">
      <c r="B8" s="3" t="s">
        <v>7</v>
      </c>
      <c r="C8" s="4" t="s">
        <v>8</v>
      </c>
      <c r="D8" s="4"/>
      <c r="E8" s="4"/>
      <c r="F8" s="4"/>
      <c r="G8" s="4"/>
    </row>
    <row r="9" customFormat="false" ht="30" hidden="false" customHeight="true" outlineLevel="0" collapsed="false">
      <c r="B9" s="3" t="s">
        <v>9</v>
      </c>
      <c r="C9" s="4" t="s">
        <v>10</v>
      </c>
      <c r="D9" s="4"/>
      <c r="E9" s="4"/>
      <c r="F9" s="4"/>
      <c r="G9" s="4"/>
    </row>
    <row r="10" customFormat="false" ht="30" hidden="false" customHeight="true" outlineLevel="0" collapsed="false">
      <c r="B10" s="3" t="s">
        <v>11</v>
      </c>
      <c r="C10" s="6" t="s">
        <v>12</v>
      </c>
      <c r="D10" s="6"/>
      <c r="E10" s="6"/>
      <c r="F10" s="6"/>
      <c r="G10" s="6"/>
    </row>
    <row r="12" customFormat="false" ht="19.5" hidden="false" customHeight="true" outlineLevel="0" collapsed="false">
      <c r="B12" s="7" t="s">
        <v>13</v>
      </c>
      <c r="C12" s="8"/>
      <c r="D12" s="8"/>
      <c r="E12" s="8"/>
      <c r="F12" s="8"/>
      <c r="G12" s="8"/>
    </row>
    <row r="13" customFormat="false" ht="43.5" hidden="false" customHeight="true" outlineLevel="0" collapsed="false">
      <c r="B13" s="9" t="s">
        <v>14</v>
      </c>
      <c r="C13" s="9"/>
      <c r="D13" s="9"/>
      <c r="E13" s="9"/>
      <c r="F13" s="9"/>
      <c r="G13" s="9"/>
    </row>
    <row r="15" customFormat="false" ht="19.5" hidden="false" customHeight="true" outlineLevel="0" collapsed="false">
      <c r="B15" s="7" t="s">
        <v>15</v>
      </c>
      <c r="C15" s="8"/>
      <c r="D15" s="8"/>
      <c r="E15" s="8"/>
      <c r="F15" s="8"/>
      <c r="G15" s="8"/>
    </row>
    <row r="16" customFormat="false" ht="15" hidden="false" customHeight="true" outlineLevel="0" collapsed="false">
      <c r="B16" s="10" t="s">
        <v>16</v>
      </c>
      <c r="C16" s="10" t="s">
        <v>17</v>
      </c>
      <c r="D16" s="10"/>
      <c r="E16" s="10"/>
      <c r="F16" s="10"/>
      <c r="G16" s="10"/>
    </row>
    <row r="17" customFormat="false" ht="18" hidden="false" customHeight="true" outlineLevel="0" collapsed="false">
      <c r="B17" s="11" t="s">
        <v>18</v>
      </c>
      <c r="C17" s="12" t="s">
        <v>19</v>
      </c>
      <c r="D17" s="12"/>
      <c r="E17" s="12"/>
      <c r="F17" s="12"/>
      <c r="G17" s="12"/>
    </row>
    <row r="18" customFormat="false" ht="18" hidden="false" customHeight="true" outlineLevel="0" collapsed="false">
      <c r="B18" s="11" t="s">
        <v>20</v>
      </c>
      <c r="C18" s="12" t="s">
        <v>21</v>
      </c>
      <c r="D18" s="12"/>
      <c r="E18" s="12"/>
      <c r="F18" s="12"/>
      <c r="G18" s="12"/>
    </row>
    <row r="19" customFormat="false" ht="18" hidden="false" customHeight="true" outlineLevel="0" collapsed="false">
      <c r="B19" s="11" t="s">
        <v>22</v>
      </c>
      <c r="C19" s="12" t="s">
        <v>23</v>
      </c>
      <c r="D19" s="12"/>
      <c r="E19" s="12"/>
      <c r="F19" s="12"/>
      <c r="G19" s="12"/>
    </row>
    <row r="20" customFormat="false" ht="18" hidden="false" customHeight="true" outlineLevel="0" collapsed="false">
      <c r="B20" s="11" t="s">
        <v>24</v>
      </c>
      <c r="C20" s="12" t="s">
        <v>25</v>
      </c>
      <c r="D20" s="12"/>
      <c r="E20" s="12"/>
      <c r="F20" s="12"/>
      <c r="G20" s="12"/>
    </row>
    <row r="21" customFormat="false" ht="18" hidden="false" customHeight="true" outlineLevel="0" collapsed="false">
      <c r="B21" s="11" t="s">
        <v>26</v>
      </c>
      <c r="C21" s="12" t="s">
        <v>27</v>
      </c>
      <c r="D21" s="12"/>
      <c r="E21" s="12"/>
      <c r="F21" s="12"/>
      <c r="G21" s="12"/>
    </row>
    <row r="23" customFormat="false" ht="19.5" hidden="false" customHeight="true" outlineLevel="0" collapsed="false">
      <c r="B23" s="7" t="s">
        <v>28</v>
      </c>
      <c r="C23" s="8"/>
      <c r="D23" s="8"/>
      <c r="E23" s="8"/>
      <c r="F23" s="8"/>
      <c r="G23" s="8"/>
    </row>
    <row r="24" customFormat="false" ht="15" hidden="false" customHeight="true" outlineLevel="0" collapsed="false">
      <c r="B24" s="10" t="s">
        <v>29</v>
      </c>
      <c r="C24" s="10" t="s">
        <v>30</v>
      </c>
      <c r="D24" s="10"/>
      <c r="E24" s="10"/>
      <c r="F24" s="10"/>
      <c r="G24" s="10"/>
    </row>
    <row r="25" customFormat="false" ht="18" hidden="false" customHeight="true" outlineLevel="0" collapsed="false">
      <c r="B25" s="11" t="s">
        <v>31</v>
      </c>
      <c r="C25" s="12" t="s">
        <v>32</v>
      </c>
      <c r="D25" s="12"/>
      <c r="E25" s="12"/>
      <c r="F25" s="12"/>
      <c r="G25" s="12"/>
    </row>
    <row r="26" customFormat="false" ht="18" hidden="false" customHeight="true" outlineLevel="0" collapsed="false">
      <c r="B26" s="11" t="s">
        <v>33</v>
      </c>
      <c r="C26" s="12" t="s">
        <v>34</v>
      </c>
      <c r="D26" s="12"/>
      <c r="E26" s="12"/>
      <c r="F26" s="12"/>
      <c r="G26" s="12"/>
    </row>
    <row r="27" customFormat="false" ht="18" hidden="false" customHeight="true" outlineLevel="0" collapsed="false">
      <c r="B27" s="11" t="s">
        <v>35</v>
      </c>
      <c r="C27" s="12" t="s">
        <v>36</v>
      </c>
      <c r="D27" s="12"/>
      <c r="E27" s="12"/>
      <c r="F27" s="12"/>
      <c r="G27" s="12"/>
    </row>
    <row r="28" customFormat="false" ht="18" hidden="false" customHeight="true" outlineLevel="0" collapsed="false">
      <c r="B28" s="11" t="s">
        <v>37</v>
      </c>
      <c r="C28" s="12" t="s">
        <v>38</v>
      </c>
      <c r="D28" s="12"/>
      <c r="E28" s="12"/>
      <c r="F28" s="12"/>
      <c r="G28" s="12"/>
    </row>
    <row r="29" customFormat="false" ht="15" hidden="false" customHeight="false" outlineLevel="0" collapsed="false">
      <c r="B29" s="13" t="s">
        <v>39</v>
      </c>
    </row>
    <row r="31" customFormat="false" ht="19.5" hidden="false" customHeight="true" outlineLevel="0" collapsed="false">
      <c r="B31" s="7" t="s">
        <v>40</v>
      </c>
      <c r="C31" s="8"/>
      <c r="D31" s="8"/>
      <c r="E31" s="8"/>
      <c r="F31" s="8"/>
      <c r="G31" s="8"/>
    </row>
    <row r="32" customFormat="false" ht="15" hidden="false" customHeight="true" outlineLevel="0" collapsed="false">
      <c r="B32" s="10" t="s">
        <v>41</v>
      </c>
      <c r="C32" s="10" t="s">
        <v>17</v>
      </c>
      <c r="D32" s="10"/>
      <c r="E32" s="10"/>
      <c r="F32" s="10"/>
      <c r="G32" s="10"/>
    </row>
    <row r="33" customFormat="false" ht="18" hidden="false" customHeight="true" outlineLevel="0" collapsed="false">
      <c r="B33" s="11" t="s">
        <v>42</v>
      </c>
      <c r="C33" s="12" t="s">
        <v>43</v>
      </c>
      <c r="D33" s="12"/>
      <c r="E33" s="12"/>
      <c r="F33" s="12"/>
      <c r="G33" s="12"/>
    </row>
    <row r="34" customFormat="false" ht="18" hidden="false" customHeight="true" outlineLevel="0" collapsed="false">
      <c r="B34" s="11" t="s">
        <v>44</v>
      </c>
      <c r="C34" s="12" t="s">
        <v>45</v>
      </c>
      <c r="D34" s="12"/>
      <c r="E34" s="12"/>
      <c r="F34" s="12"/>
      <c r="G34" s="12"/>
    </row>
    <row r="35" customFormat="false" ht="18" hidden="false" customHeight="true" outlineLevel="0" collapsed="false">
      <c r="B35" s="11" t="s">
        <v>46</v>
      </c>
      <c r="C35" s="12" t="s">
        <v>47</v>
      </c>
      <c r="D35" s="12"/>
      <c r="E35" s="12"/>
      <c r="F35" s="12"/>
      <c r="G35" s="12"/>
    </row>
    <row r="36" customFormat="false" ht="18" hidden="false" customHeight="true" outlineLevel="0" collapsed="false">
      <c r="B36" s="11" t="s">
        <v>48</v>
      </c>
      <c r="C36" s="12" t="s">
        <v>49</v>
      </c>
      <c r="D36" s="12"/>
      <c r="E36" s="12"/>
      <c r="F36" s="12"/>
      <c r="G36" s="12"/>
    </row>
    <row r="37" customFormat="false" ht="18" hidden="false" customHeight="true" outlineLevel="0" collapsed="false">
      <c r="B37" s="11" t="s">
        <v>50</v>
      </c>
      <c r="C37" s="12" t="s">
        <v>51</v>
      </c>
      <c r="D37" s="12"/>
      <c r="E37" s="12"/>
      <c r="F37" s="12"/>
      <c r="G37" s="12"/>
    </row>
    <row r="39" customFormat="false" ht="19.5" hidden="false" customHeight="true" outlineLevel="0" collapsed="false">
      <c r="B39" s="7" t="s">
        <v>52</v>
      </c>
      <c r="C39" s="8"/>
      <c r="D39" s="8"/>
      <c r="E39" s="8"/>
      <c r="F39" s="8"/>
      <c r="G39" s="8"/>
    </row>
    <row r="40" customFormat="false" ht="30" hidden="false" customHeight="true" outlineLevel="0" collapsed="false">
      <c r="B40" s="9" t="s">
        <v>53</v>
      </c>
      <c r="C40" s="9"/>
      <c r="D40" s="9"/>
      <c r="E40" s="9"/>
      <c r="F40" s="9"/>
      <c r="G40" s="9"/>
    </row>
    <row r="41" customFormat="false" ht="18" hidden="false" customHeight="true" outlineLevel="0" collapsed="false">
      <c r="B41" s="9" t="s">
        <v>54</v>
      </c>
      <c r="C41" s="9"/>
      <c r="D41" s="9"/>
      <c r="E41" s="9"/>
      <c r="F41" s="9"/>
      <c r="G41" s="9"/>
    </row>
    <row r="42" customFormat="false" ht="18" hidden="false" customHeight="true" outlineLevel="0" collapsed="false">
      <c r="B42" s="9" t="s">
        <v>55</v>
      </c>
      <c r="C42" s="9"/>
      <c r="D42" s="9"/>
      <c r="E42" s="9"/>
      <c r="F42" s="9"/>
      <c r="G42" s="9"/>
    </row>
    <row r="43" customFormat="false" ht="18" hidden="false" customHeight="true" outlineLevel="0" collapsed="false">
      <c r="B43" s="9" t="s">
        <v>56</v>
      </c>
      <c r="C43" s="9"/>
      <c r="D43" s="9"/>
      <c r="E43" s="9"/>
      <c r="F43" s="9"/>
      <c r="G43" s="9"/>
    </row>
    <row r="44" customFormat="false" ht="18" hidden="false" customHeight="true" outlineLevel="0" collapsed="false">
      <c r="B44" s="9" t="s">
        <v>57</v>
      </c>
      <c r="C44" s="9"/>
      <c r="D44" s="9"/>
      <c r="E44" s="9"/>
      <c r="F44" s="9"/>
      <c r="G44" s="9"/>
    </row>
    <row r="46" customFormat="false" ht="19.5" hidden="false" customHeight="true" outlineLevel="0" collapsed="false">
      <c r="B46" s="7" t="s">
        <v>58</v>
      </c>
      <c r="C46" s="8"/>
      <c r="D46" s="8"/>
      <c r="E46" s="8"/>
      <c r="F46" s="8"/>
      <c r="G46" s="8"/>
    </row>
    <row r="47" customFormat="false" ht="15" hidden="false" customHeight="true" outlineLevel="0" collapsed="false">
      <c r="B47" s="10" t="s">
        <v>4</v>
      </c>
      <c r="C47" s="10" t="s">
        <v>59</v>
      </c>
      <c r="D47" s="10" t="s">
        <v>60</v>
      </c>
      <c r="E47" s="10" t="s">
        <v>61</v>
      </c>
      <c r="F47" s="10"/>
      <c r="G47" s="10"/>
    </row>
    <row r="48" customFormat="false" ht="30" hidden="false" customHeight="true" outlineLevel="0" collapsed="false">
      <c r="B48" s="14" t="s">
        <v>5</v>
      </c>
      <c r="C48" s="15" t="n">
        <v>46275</v>
      </c>
      <c r="D48" s="14" t="s">
        <v>62</v>
      </c>
      <c r="E48" s="12" t="s">
        <v>63</v>
      </c>
      <c r="F48" s="12"/>
      <c r="G48" s="12"/>
    </row>
  </sheetData>
  <mergeCells count="31">
    <mergeCell ref="C5:G5"/>
    <mergeCell ref="C6:G6"/>
    <mergeCell ref="C7:G7"/>
    <mergeCell ref="C8:G8"/>
    <mergeCell ref="C9:G9"/>
    <mergeCell ref="C10:G10"/>
    <mergeCell ref="B13:G13"/>
    <mergeCell ref="C16:G16"/>
    <mergeCell ref="C17:G17"/>
    <mergeCell ref="C18:G18"/>
    <mergeCell ref="C19:G19"/>
    <mergeCell ref="C20:G20"/>
    <mergeCell ref="C21:G21"/>
    <mergeCell ref="C24:G24"/>
    <mergeCell ref="C25:G25"/>
    <mergeCell ref="C26:G26"/>
    <mergeCell ref="C27:G27"/>
    <mergeCell ref="C28:G28"/>
    <mergeCell ref="C32:G32"/>
    <mergeCell ref="C33:G33"/>
    <mergeCell ref="C34:G34"/>
    <mergeCell ref="C35:G35"/>
    <mergeCell ref="C36:G36"/>
    <mergeCell ref="C37:G37"/>
    <mergeCell ref="B40:G40"/>
    <mergeCell ref="B41:G41"/>
    <mergeCell ref="B42:G42"/>
    <mergeCell ref="B43:G43"/>
    <mergeCell ref="B44:G44"/>
    <mergeCell ref="E47:G47"/>
    <mergeCell ref="E48:G4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8" min="3" style="0" width="17"/>
    <col collapsed="false" customWidth="true" hidden="false" outlineLevel="0" max="9" min="9" style="0" width="13"/>
  </cols>
  <sheetData>
    <row r="1" customFormat="false" ht="22.05" hidden="false" customHeight="false" outlineLevel="0" collapsed="false">
      <c r="B1" s="16" t="s">
        <v>64</v>
      </c>
    </row>
    <row r="2" customFormat="false" ht="15" hidden="false" customHeight="false" outlineLevel="0" collapsed="false">
      <c r="B2" s="17" t="s">
        <v>65</v>
      </c>
    </row>
    <row r="3" customFormat="false" ht="15" hidden="false" customHeight="false" outlineLevel="0" collapsed="false">
      <c r="B3" s="18" t="str">
        <f aca="false">"Reporting date: "&amp;TEXT(Cover!$C$7,"DD-MMM-YYYY")</f>
        <v>Reporting date: 10-Sep-2026</v>
      </c>
    </row>
    <row r="5" customFormat="false" ht="19.5" hidden="false" customHeight="true" outlineLevel="0" collapsed="false">
      <c r="B5" s="7" t="s">
        <v>66</v>
      </c>
      <c r="C5" s="8"/>
      <c r="D5" s="8"/>
      <c r="E5" s="8"/>
      <c r="F5" s="8"/>
      <c r="G5" s="8"/>
      <c r="H5" s="8"/>
      <c r="I5" s="8"/>
    </row>
    <row r="6" customFormat="false" ht="31.5" hidden="false" customHeight="true" outlineLevel="0" collapsed="false">
      <c r="B6" s="10" t="s">
        <v>67</v>
      </c>
      <c r="C6" s="10" t="s">
        <v>31</v>
      </c>
      <c r="D6" s="10" t="s">
        <v>68</v>
      </c>
      <c r="E6" s="10" t="s">
        <v>69</v>
      </c>
      <c r="F6" s="10" t="s">
        <v>70</v>
      </c>
      <c r="G6" s="10" t="s">
        <v>71</v>
      </c>
      <c r="H6" s="10" t="s">
        <v>72</v>
      </c>
      <c r="I6" s="10" t="s">
        <v>73</v>
      </c>
    </row>
    <row r="7" customFormat="false" ht="30" hidden="false" customHeight="true" outlineLevel="0" collapsed="false">
      <c r="B7" s="19" t="n">
        <f aca="false">COUNTA('Stakeholder Register'!$A$5:$A$54)</f>
        <v>18</v>
      </c>
      <c r="C7" s="19" t="n">
        <f aca="false">COUNTIFS('Stakeholder Register'!$G$5:$G$54,"Manage closely")</f>
        <v>5</v>
      </c>
      <c r="D7" s="20" t="n">
        <f aca="false">COUNTIFS('Stakeholder Register'!$J$5:$J$54,"&gt;0")</f>
        <v>14</v>
      </c>
      <c r="E7" s="20" t="n">
        <f aca="false">COUNTIFS('Stakeholder Register'!$H$5:$H$54,"Resistant")+COUNTIFS('Stakeholder Register'!$H$5:$H$54,"Unaware")</f>
        <v>3</v>
      </c>
      <c r="F7" s="20" t="n">
        <f aca="false">COUNTIFS('Stakeholder Register'!$U$5:$U$54,"Overdue")</f>
        <v>1</v>
      </c>
      <c r="G7" s="19" t="n">
        <f aca="false">COUNT(Governance!$K$5:$K$34)</f>
        <v>10</v>
      </c>
      <c r="H7" s="19" t="n">
        <f aca="false">COUNTIFS(Deliverables!$H$5:$H$54,"In Review")</f>
        <v>4</v>
      </c>
      <c r="I7" s="20" t="n">
        <f aca="false">COUNTIFS('RACI Matrix'!$T$5:$T$40,"Needs*")</f>
        <v>0</v>
      </c>
    </row>
    <row r="9" customFormat="false" ht="19.5" hidden="false" customHeight="true" outlineLevel="0" collapsed="false">
      <c r="B9" s="7" t="s">
        <v>74</v>
      </c>
      <c r="C9" s="8"/>
      <c r="D9" s="8"/>
      <c r="E9" s="8"/>
      <c r="F9" s="8"/>
      <c r="G9" s="8"/>
      <c r="H9" s="8"/>
      <c r="I9" s="8"/>
    </row>
    <row r="10" customFormat="false" ht="15" hidden="false" customHeight="false" outlineLevel="0" collapsed="false">
      <c r="B10" s="21" t="s">
        <v>75</v>
      </c>
      <c r="C10" s="22" t="str">
        <f aca="false">"Keep satisfied ("&amp;COUNTIFS('Stakeholder Register'!$G$5:$G$54,"Keep satisfied")&amp;")"</f>
        <v>Keep satisfied (4)</v>
      </c>
      <c r="D10" s="22"/>
      <c r="E10" s="22"/>
      <c r="F10" s="23" t="str">
        <f aca="false">"Manage closely ("&amp;COUNTIFS('Stakeholder Register'!$G$5:$G$54,"Manage closely")&amp;")"</f>
        <v>Manage closely (5)</v>
      </c>
      <c r="G10" s="23"/>
      <c r="H10" s="23"/>
    </row>
    <row r="11" customFormat="false" ht="15.75" hidden="false" customHeight="true" outlineLevel="0" collapsed="false">
      <c r="B11" s="24" t="s">
        <v>76</v>
      </c>
      <c r="C11" s="25" t="str">
        <f aca="false">IFERROR(INDEX('Stakeholder Register'!$B$5:$B$54,MATCH(SMALL('Stakeholder Register'!$W$5:$W$54,1),'Stakeholder Register'!$W$5:$W$54,0)),"")</f>
        <v>Steering Committee (finance, technology and risk delegates)</v>
      </c>
      <c r="D11" s="25"/>
      <c r="E11" s="25"/>
      <c r="F11" s="25" t="str">
        <f aca="false">IFERROR(INDEX('Stakeholder Register'!$B$5:$B$54,MATCH(SMALL('Stakeholder Register'!$V$5:$V$54,1),'Stakeholder Register'!$V$5:$V$54,0)),"")</f>
        <v>Business Sponsor (Head of Merchant Services)</v>
      </c>
      <c r="G11" s="25"/>
      <c r="H11" s="25"/>
    </row>
    <row r="12" customFormat="false" ht="15.75" hidden="false" customHeight="true" outlineLevel="0" collapsed="false">
      <c r="C12" s="25" t="str">
        <f aca="false">IFERROR(INDEX('Stakeholder Register'!$B$5:$B$54,MATCH(SMALL('Stakeholder Register'!$W$5:$W$54,2),'Stakeholder Register'!$W$5:$W$54,0)),"")</f>
        <v>InfoSec Lead</v>
      </c>
      <c r="D12" s="25"/>
      <c r="E12" s="25"/>
      <c r="F12" s="25" t="str">
        <f aca="false">IFERROR(INDEX('Stakeholder Register'!$B$5:$B$54,MATCH(SMALL('Stakeholder Register'!$V$5:$V$54,2),'Stakeholder Register'!$V$5:$V$54,0)),"")</f>
        <v>Dispute Ops Lead</v>
      </c>
      <c r="G12" s="25"/>
      <c r="H12" s="25"/>
    </row>
    <row r="13" customFormat="false" ht="15.75" hidden="false" customHeight="true" outlineLevel="0" collapsed="false">
      <c r="C13" s="25" t="str">
        <f aca="false">IFERROR(INDEX('Stakeholder Register'!$B$5:$B$54,MATCH(SMALL('Stakeholder Register'!$W$5:$W$54,3),'Stakeholder Register'!$W$5:$W$54,0)),"")</f>
        <v>Data Governance Lead</v>
      </c>
      <c r="D13" s="25"/>
      <c r="E13" s="25"/>
      <c r="F13" s="25" t="str">
        <f aca="false">IFERROR(INDEX('Stakeholder Register'!$B$5:$B$54,MATCH(SMALL('Stakeholder Register'!$V$5:$V$54,3),'Stakeholder Register'!$V$5:$V$54,0)),"")</f>
        <v>Finance Lead</v>
      </c>
      <c r="G13" s="25"/>
      <c r="H13" s="25"/>
    </row>
    <row r="14" customFormat="false" ht="15.75" hidden="false" customHeight="true" outlineLevel="0" collapsed="false">
      <c r="C14" s="25" t="str">
        <f aca="false">IFERROR(INDEX('Stakeholder Register'!$B$5:$B$54,MATCH(SMALL('Stakeholder Register'!$W$5:$W$54,4),'Stakeholder Register'!$W$5:$W$54,0)),"")</f>
        <v>Payment Processor Account Manager</v>
      </c>
      <c r="D14" s="25"/>
      <c r="E14" s="25"/>
      <c r="F14" s="25" t="str">
        <f aca="false">IFERROR(INDEX('Stakeholder Register'!$B$5:$B$54,MATCH(SMALL('Stakeholder Register'!$V$5:$V$54,4),'Stakeholder Register'!$V$5:$V$54,0)),"")</f>
        <v>Compliance Lead</v>
      </c>
      <c r="G14" s="25"/>
      <c r="H14" s="25"/>
    </row>
    <row r="15" customFormat="false" ht="15.75" hidden="false" customHeight="true" outlineLevel="0" collapsed="false">
      <c r="C15" s="25" t="str">
        <f aca="false">IFERROR(INDEX('Stakeholder Register'!$B$5:$B$54,MATCH(SMALL('Stakeholder Register'!$W$5:$W$54,5),'Stakeholder Register'!$W$5:$W$54,0)),"")</f>
        <v/>
      </c>
      <c r="D15" s="25"/>
      <c r="E15" s="25"/>
      <c r="F15" s="25" t="str">
        <f aca="false">IFERROR(INDEX('Stakeholder Register'!$B$5:$B$54,MATCH(SMALL('Stakeholder Register'!$V$5:$V$54,5),'Stakeholder Register'!$V$5:$V$54,0)),"")</f>
        <v>Merchant Relationship Lead</v>
      </c>
      <c r="G15" s="25"/>
      <c r="H15" s="25"/>
    </row>
    <row r="16" customFormat="false" ht="15.75" hidden="false" customHeight="true" outlineLevel="0" collapsed="false">
      <c r="C16" s="25" t="str">
        <f aca="false">IFERROR(INDEX('Stakeholder Register'!$B$5:$B$54,MATCH(SMALL('Stakeholder Register'!$W$5:$W$54,6),'Stakeholder Register'!$W$5:$W$54,0)),"")</f>
        <v/>
      </c>
      <c r="D16" s="25"/>
      <c r="E16" s="25"/>
      <c r="F16" s="25" t="str">
        <f aca="false">IFERROR(INDEX('Stakeholder Register'!$B$5:$B$54,MATCH(SMALL('Stakeholder Register'!$V$5:$V$54,6),'Stakeholder Register'!$V$5:$V$54,0)),"")</f>
        <v/>
      </c>
      <c r="G16" s="25"/>
      <c r="H16" s="25"/>
    </row>
    <row r="17" customFormat="false" ht="15.75" hidden="false" customHeight="true" outlineLevel="0" collapsed="false">
      <c r="C17" s="25" t="str">
        <f aca="false">IFERROR(INDEX('Stakeholder Register'!$B$5:$B$54,MATCH(SMALL('Stakeholder Register'!$W$5:$W$54,7),'Stakeholder Register'!$W$5:$W$54,0)),"")</f>
        <v/>
      </c>
      <c r="D17" s="25"/>
      <c r="E17" s="25"/>
      <c r="F17" s="25" t="str">
        <f aca="false">IFERROR(INDEX('Stakeholder Register'!$B$5:$B$54,MATCH(SMALL('Stakeholder Register'!$V$5:$V$54,7),'Stakeholder Register'!$V$5:$V$54,0)),"")</f>
        <v/>
      </c>
      <c r="G17" s="25"/>
      <c r="H17" s="25"/>
    </row>
    <row r="18" customFormat="false" ht="15.75" hidden="false" customHeight="true" outlineLevel="0" collapsed="false">
      <c r="C18" s="25" t="str">
        <f aca="false">IFERROR(INDEX('Stakeholder Register'!$B$5:$B$54,MATCH(SMALL('Stakeholder Register'!$W$5:$W$54,8),'Stakeholder Register'!$W$5:$W$54,0)),"")</f>
        <v/>
      </c>
      <c r="D18" s="25"/>
      <c r="E18" s="25"/>
      <c r="F18" s="25" t="str">
        <f aca="false">IFERROR(INDEX('Stakeholder Register'!$B$5:$B$54,MATCH(SMALL('Stakeholder Register'!$V$5:$V$54,8),'Stakeholder Register'!$V$5:$V$54,0)),"")</f>
        <v/>
      </c>
      <c r="G18" s="25"/>
      <c r="H18" s="25"/>
    </row>
    <row r="20" customFormat="false" ht="15" hidden="false" customHeight="false" outlineLevel="0" collapsed="false">
      <c r="B20" s="26"/>
      <c r="C20" s="27" t="str">
        <f aca="false">"Monitor ("&amp;COUNTIFS('Stakeholder Register'!$G$5:$G$54,"Monitor")&amp;")"</f>
        <v>Monitor (6)</v>
      </c>
      <c r="D20" s="27"/>
      <c r="E20" s="27"/>
      <c r="F20" s="28" t="str">
        <f aca="false">"Keep informed ("&amp;COUNTIFS('Stakeholder Register'!$G$5:$G$54,"Keep informed")&amp;")"</f>
        <v>Keep informed (3)</v>
      </c>
      <c r="G20" s="28"/>
      <c r="H20" s="28"/>
    </row>
    <row r="21" customFormat="false" ht="15.75" hidden="false" customHeight="true" outlineLevel="0" collapsed="false">
      <c r="B21" s="24" t="s">
        <v>77</v>
      </c>
      <c r="C21" s="25" t="str">
        <f aca="false">IFERROR(INDEX('Stakeholder Register'!$B$5:$B$54,MATCH(SMALL('Stakeholder Register'!$Y$5:$Y$54,1),'Stakeholder Register'!$Y$5:$Y$54,0)),"")</f>
        <v>Legal Counsel</v>
      </c>
      <c r="D21" s="25"/>
      <c r="E21" s="25"/>
      <c r="F21" s="25" t="str">
        <f aca="false">IFERROR(INDEX('Stakeholder Register'!$B$5:$B$54,MATCH(SMALL('Stakeholder Register'!$X$5:$X$54,1),'Stakeholder Register'!$X$5:$X$54,0)),"")</f>
        <v>Fraud Operations Lead</v>
      </c>
      <c r="G21" s="25"/>
      <c r="H21" s="25"/>
    </row>
    <row r="22" customFormat="false" ht="15.75" hidden="false" customHeight="true" outlineLevel="0" collapsed="false">
      <c r="C22" s="25" t="str">
        <f aca="false">IFERROR(INDEX('Stakeholder Register'!$B$5:$B$54,MATCH(SMALL('Stakeholder Register'!$Y$5:$Y$54,2),'Stakeholder Register'!$Y$5:$Y$54,0)),"")</f>
        <v>IAM Team Lead</v>
      </c>
      <c r="D22" s="25"/>
      <c r="E22" s="25"/>
      <c r="F22" s="25" t="str">
        <f aca="false">IFERROR(INDEX('Stakeholder Register'!$B$5:$B$54,MATCH(SMALL('Stakeholder Register'!$X$5:$X$54,2),'Stakeholder Register'!$X$5:$X$54,0)),"")</f>
        <v>Pilot merchants (10)</v>
      </c>
      <c r="G22" s="25"/>
      <c r="H22" s="25"/>
    </row>
    <row r="23" customFormat="false" ht="15.75" hidden="false" customHeight="true" outlineLevel="0" collapsed="false">
      <c r="C23" s="25" t="str">
        <f aca="false">IFERROR(INDEX('Stakeholder Register'!$B$5:$B$54,MATCH(SMALL('Stakeholder Register'!$Y$5:$Y$54,3),'Stakeholder Register'!$Y$5:$Y$54,0)),"")</f>
        <v>Data Engineering Lead</v>
      </c>
      <c r="D23" s="25"/>
      <c r="E23" s="25"/>
      <c r="F23" s="25" t="str">
        <f aca="false">IFERROR(INDEX('Stakeholder Register'!$B$5:$B$54,MATCH(SMALL('Stakeholder Register'!$X$5:$X$54,3),'Stakeholder Register'!$X$5:$X$54,0)),"")</f>
        <v>Delivery squads (Portal, Integration, Data)</v>
      </c>
      <c r="G23" s="25"/>
      <c r="H23" s="25"/>
    </row>
    <row r="24" customFormat="false" ht="15.75" hidden="false" customHeight="true" outlineLevel="0" collapsed="false">
      <c r="C24" s="25" t="str">
        <f aca="false">IFERROR(INDEX('Stakeholder Register'!$B$5:$B$54,MATCH(SMALL('Stakeholder Register'!$Y$5:$Y$54,4),'Stakeholder Register'!$Y$5:$Y$54,0)),"")</f>
        <v>Customer Servicing Lead</v>
      </c>
      <c r="D24" s="25"/>
      <c r="E24" s="25"/>
      <c r="F24" s="25" t="str">
        <f aca="false">IFERROR(INDEX('Stakeholder Register'!$B$5:$B$54,MATCH(SMALL('Stakeholder Register'!$X$5:$X$54,4),'Stakeholder Register'!$X$5:$X$54,0)),"")</f>
        <v/>
      </c>
      <c r="G24" s="25"/>
      <c r="H24" s="25"/>
    </row>
    <row r="25" customFormat="false" ht="15.75" hidden="false" customHeight="true" outlineLevel="0" collapsed="false">
      <c r="C25" s="25" t="str">
        <f aca="false">IFERROR(INDEX('Stakeholder Register'!$B$5:$B$54,MATCH(SMALL('Stakeholder Register'!$Y$5:$Y$54,5),'Stakeholder Register'!$Y$5:$Y$54,0)),"")</f>
        <v>Marketing and Merchant Communications Lead</v>
      </c>
      <c r="D25" s="25"/>
      <c r="E25" s="25"/>
      <c r="F25" s="25" t="str">
        <f aca="false">IFERROR(INDEX('Stakeholder Register'!$B$5:$B$54,MATCH(SMALL('Stakeholder Register'!$X$5:$X$54,5),'Stakeholder Register'!$X$5:$X$54,0)),"")</f>
        <v/>
      </c>
      <c r="G25" s="25"/>
      <c r="H25" s="25"/>
    </row>
    <row r="26" customFormat="false" ht="15.75" hidden="false" customHeight="true" outlineLevel="0" collapsed="false">
      <c r="C26" s="25" t="str">
        <f aca="false">IFERROR(INDEX('Stakeholder Register'!$B$5:$B$54,MATCH(SMALL('Stakeholder Register'!$Y$5:$Y$54,6),'Stakeholder Register'!$Y$5:$Y$54,0)),"")</f>
        <v>Document Storage Vendor</v>
      </c>
      <c r="D26" s="25"/>
      <c r="E26" s="25"/>
      <c r="F26" s="25" t="str">
        <f aca="false">IFERROR(INDEX('Stakeholder Register'!$B$5:$B$54,MATCH(SMALL('Stakeholder Register'!$X$5:$X$54,6),'Stakeholder Register'!$X$5:$X$54,0)),"")</f>
        <v/>
      </c>
      <c r="G26" s="25"/>
      <c r="H26" s="25"/>
    </row>
    <row r="27" customFormat="false" ht="15.75" hidden="false" customHeight="true" outlineLevel="0" collapsed="false">
      <c r="C27" s="25" t="str">
        <f aca="false">IFERROR(INDEX('Stakeholder Register'!$B$5:$B$54,MATCH(SMALL('Stakeholder Register'!$Y$5:$Y$54,7),'Stakeholder Register'!$Y$5:$Y$54,0)),"")</f>
        <v/>
      </c>
      <c r="D27" s="25"/>
      <c r="E27" s="25"/>
      <c r="F27" s="25" t="str">
        <f aca="false">IFERROR(INDEX('Stakeholder Register'!$B$5:$B$54,MATCH(SMALL('Stakeholder Register'!$X$5:$X$54,7),'Stakeholder Register'!$X$5:$X$54,0)),"")</f>
        <v/>
      </c>
      <c r="G27" s="25"/>
      <c r="H27" s="25"/>
    </row>
    <row r="28" customFormat="false" ht="15.75" hidden="false" customHeight="true" outlineLevel="0" collapsed="false">
      <c r="C28" s="25" t="str">
        <f aca="false">IFERROR(INDEX('Stakeholder Register'!$B$5:$B$54,MATCH(SMALL('Stakeholder Register'!$Y$5:$Y$54,8),'Stakeholder Register'!$Y$5:$Y$54,0)),"")</f>
        <v/>
      </c>
      <c r="D28" s="25"/>
      <c r="E28" s="25"/>
      <c r="F28" s="25" t="str">
        <f aca="false">IFERROR(INDEX('Stakeholder Register'!$B$5:$B$54,MATCH(SMALL('Stakeholder Register'!$X$5:$X$54,8),'Stakeholder Register'!$X$5:$X$54,0)),"")</f>
        <v/>
      </c>
      <c r="G28" s="25"/>
      <c r="H28" s="25"/>
    </row>
    <row r="29" customFormat="false" ht="15" hidden="false" customHeight="false" outlineLevel="0" collapsed="false">
      <c r="C29" s="24" t="s">
        <v>78</v>
      </c>
      <c r="F29" s="29" t="s">
        <v>79</v>
      </c>
      <c r="G29" s="24" t="s">
        <v>80</v>
      </c>
    </row>
    <row r="31" customFormat="false" ht="19.5" hidden="false" customHeight="true" outlineLevel="0" collapsed="false">
      <c r="B31" s="7" t="s">
        <v>81</v>
      </c>
      <c r="C31" s="8"/>
      <c r="D31" s="8"/>
      <c r="E31" s="8"/>
      <c r="F31" s="8"/>
      <c r="G31" s="8"/>
      <c r="H31" s="8"/>
      <c r="I31" s="8"/>
    </row>
    <row r="32" customFormat="false" ht="31.5" hidden="false" customHeight="true" outlineLevel="0" collapsed="false">
      <c r="B32" s="10" t="s">
        <v>82</v>
      </c>
      <c r="C32" s="10" t="s">
        <v>83</v>
      </c>
      <c r="D32" s="10" t="s">
        <v>84</v>
      </c>
      <c r="E32" s="10" t="s">
        <v>85</v>
      </c>
      <c r="F32" s="10" t="s">
        <v>86</v>
      </c>
      <c r="G32" s="10" t="s">
        <v>87</v>
      </c>
      <c r="H32" s="10"/>
      <c r="I32" s="10" t="s">
        <v>88</v>
      </c>
    </row>
    <row r="33" customFormat="false" ht="43.5" hidden="false" customHeight="true" outlineLevel="0" collapsed="false">
      <c r="B33" s="14" t="str">
        <f aca="false">IFERROR(INDEX('Stakeholder Register'!$A$5:$A$54,MATCH(LARGE('Stakeholder Register'!$Z$5:$Z$54,1),'Stakeholder Register'!$Z$5:$Z$54,0)),"")</f>
        <v>SH-05</v>
      </c>
      <c r="C33" s="12" t="str">
        <f aca="false">IFERROR(INDEX('Stakeholder Register'!$B$5:$B$54,MATCH(LARGE('Stakeholder Register'!$Z$5:$Z$54,1),'Stakeholder Register'!$Z$5:$Z$54,0)),"")</f>
        <v>Fraud Operations Lead</v>
      </c>
      <c r="D33" s="14" t="str">
        <f aca="false">IFERROR(INDEX('Stakeholder Register'!$H$5:$H$54,MATCH(LARGE('Stakeholder Register'!$Z$5:$Z$54,1),'Stakeholder Register'!$Z$5:$Z$54,0)),"")</f>
        <v>Resistant</v>
      </c>
      <c r="E33" s="14" t="str">
        <f aca="false">IFERROR(INDEX('Stakeholder Register'!$I$5:$I$54,MATCH(LARGE('Stakeholder Register'!$Z$5:$Z$54,1),'Stakeholder Register'!$Z$5:$Z$54,0)),"")</f>
        <v>Supportive</v>
      </c>
      <c r="F33" s="30" t="n">
        <f aca="false">IFERROR(INDEX('Stakeholder Register'!$J$5:$J$54,MATCH(LARGE('Stakeholder Register'!$Z$5:$Z$54,1),'Stakeholder Register'!$Z$5:$Z$54,0)),"")</f>
        <v>2</v>
      </c>
      <c r="G33" s="12" t="str">
        <f aca="false">IFERROR(INDEX('Stakeholder Register'!$S$5:$S$54,MATCH(LARGE('Stakeholder Register'!$Z$5:$Z$54,1),'Stakeholder Register'!$Z$5:$Z$54,0)),"")</f>
        <v>Share CR-01 impact assessment and Phase 2 roadmap slot</v>
      </c>
      <c r="H33" s="12"/>
      <c r="I33" s="15" t="n">
        <f aca="false">IFERROR(INDEX('Stakeholder Register'!$T$5:$T$54,MATCH(LARGE('Stakeholder Register'!$Z$5:$Z$54,1),'Stakeholder Register'!$Z$5:$Z$54,0)),"")</f>
        <v>46276</v>
      </c>
    </row>
    <row r="34" customFormat="false" ht="43.5" hidden="false" customHeight="true" outlineLevel="0" collapsed="false">
      <c r="B34" s="14" t="str">
        <f aca="false">IFERROR(INDEX('Stakeholder Register'!$A$5:$A$54,MATCH(LARGE('Stakeholder Register'!$Z$5:$Z$54,2),'Stakeholder Register'!$Z$5:$Z$54,0)),"")</f>
        <v>SH-14</v>
      </c>
      <c r="C34" s="12" t="str">
        <f aca="false">IFERROR(INDEX('Stakeholder Register'!$B$5:$B$54,MATCH(LARGE('Stakeholder Register'!$Z$5:$Z$54,2),'Stakeholder Register'!$Z$5:$Z$54,0)),"")</f>
        <v>Marketing and Merchant Communications Lead</v>
      </c>
      <c r="D34" s="14" t="str">
        <f aca="false">IFERROR(INDEX('Stakeholder Register'!$H$5:$H$54,MATCH(LARGE('Stakeholder Register'!$Z$5:$Z$54,2),'Stakeholder Register'!$Z$5:$Z$54,0)),"")</f>
        <v>Unaware</v>
      </c>
      <c r="E34" s="14" t="str">
        <f aca="false">IFERROR(INDEX('Stakeholder Register'!$I$5:$I$54,MATCH(LARGE('Stakeholder Register'!$Z$5:$Z$54,2),'Stakeholder Register'!$Z$5:$Z$54,0)),"")</f>
        <v>Supportive</v>
      </c>
      <c r="F34" s="30" t="n">
        <f aca="false">IFERROR(INDEX('Stakeholder Register'!$J$5:$J$54,MATCH(LARGE('Stakeholder Register'!$Z$5:$Z$54,2),'Stakeholder Register'!$Z$5:$Z$54,0)),"")</f>
        <v>3</v>
      </c>
      <c r="G34" s="12" t="str">
        <f aca="false">IFERROR(INDEX('Stakeholder Register'!$S$5:$S$54,MATCH(LARGE('Stakeholder Register'!$Z$5:$Z$54,2),'Stakeholder Register'!$Z$5:$Z$54,0)),"")</f>
        <v>First briefing on GTM plan</v>
      </c>
      <c r="H34" s="12"/>
      <c r="I34" s="15" t="n">
        <f aca="false">IFERROR(INDEX('Stakeholder Register'!$T$5:$T$54,MATCH(LARGE('Stakeholder Register'!$Z$5:$Z$54,2),'Stakeholder Register'!$Z$5:$Z$54,0)),"")</f>
        <v>46300</v>
      </c>
    </row>
    <row r="35" customFormat="false" ht="43.5" hidden="false" customHeight="true" outlineLevel="0" collapsed="false">
      <c r="B35" s="14" t="str">
        <f aca="false">IFERROR(INDEX('Stakeholder Register'!$A$5:$A$54,MATCH(LARGE('Stakeholder Register'!$Z$5:$Z$54,3),'Stakeholder Register'!$Z$5:$Z$54,0)),"")</f>
        <v>SH-17</v>
      </c>
      <c r="C35" s="12" t="str">
        <f aca="false">IFERROR(INDEX('Stakeholder Register'!$B$5:$B$54,MATCH(LARGE('Stakeholder Register'!$Z$5:$Z$54,3),'Stakeholder Register'!$Z$5:$Z$54,0)),"")</f>
        <v>Pilot merchants (10)</v>
      </c>
      <c r="D35" s="14" t="str">
        <f aca="false">IFERROR(INDEX('Stakeholder Register'!$H$5:$H$54,MATCH(LARGE('Stakeholder Register'!$Z$5:$Z$54,3),'Stakeholder Register'!$Z$5:$Z$54,0)),"")</f>
        <v>Unaware</v>
      </c>
      <c r="E35" s="14" t="str">
        <f aca="false">IFERROR(INDEX('Stakeholder Register'!$I$5:$I$54,MATCH(LARGE('Stakeholder Register'!$Z$5:$Z$54,3),'Stakeholder Register'!$Z$5:$Z$54,0)),"")</f>
        <v>Supportive</v>
      </c>
      <c r="F35" s="30" t="n">
        <f aca="false">IFERROR(INDEX('Stakeholder Register'!$J$5:$J$54,MATCH(LARGE('Stakeholder Register'!$Z$5:$Z$54,3),'Stakeholder Register'!$Z$5:$Z$54,0)),"")</f>
        <v>3</v>
      </c>
      <c r="G35" s="12" t="str">
        <f aca="false">IFERROR(INDEX('Stakeholder Register'!$S$5:$S$54,MATCH(LARGE('Stakeholder Register'!$Z$5:$Z$54,3),'Stakeholder Register'!$Z$5:$Z$54,0)),"")</f>
        <v>Send pilot invitations once terms are approved</v>
      </c>
      <c r="H35" s="12"/>
      <c r="I35" s="15" t="n">
        <f aca="false">IFERROR(INDEX('Stakeholder Register'!$T$5:$T$54,MATCH(LARGE('Stakeholder Register'!$Z$5:$Z$54,3),'Stakeholder Register'!$Z$5:$Z$54,0)),"")</f>
        <v>46328</v>
      </c>
    </row>
    <row r="36" customFormat="false" ht="43.5" hidden="false" customHeight="true" outlineLevel="0" collapsed="false">
      <c r="B36" s="14" t="str">
        <f aca="false">IFERROR(INDEX('Stakeholder Register'!$A$5:$A$54,MATCH(LARGE('Stakeholder Register'!$Z$5:$Z$54,4),'Stakeholder Register'!$Z$5:$Z$54,0)),"")</f>
        <v>SH-01</v>
      </c>
      <c r="C36" s="12" t="str">
        <f aca="false">IFERROR(INDEX('Stakeholder Register'!$B$5:$B$54,MATCH(LARGE('Stakeholder Register'!$Z$5:$Z$54,4),'Stakeholder Register'!$Z$5:$Z$54,0)),"")</f>
        <v>Business Sponsor (Head of Merchant Services)</v>
      </c>
      <c r="D36" s="14" t="str">
        <f aca="false">IFERROR(INDEX('Stakeholder Register'!$H$5:$H$54,MATCH(LARGE('Stakeholder Register'!$Z$5:$Z$54,4),'Stakeholder Register'!$Z$5:$Z$54,0)),"")</f>
        <v>Supportive</v>
      </c>
      <c r="E36" s="14" t="str">
        <f aca="false">IFERROR(INDEX('Stakeholder Register'!$I$5:$I$54,MATCH(LARGE('Stakeholder Register'!$Z$5:$Z$54,4),'Stakeholder Register'!$Z$5:$Z$54,0)),"")</f>
        <v>Leading</v>
      </c>
      <c r="F36" s="30" t="n">
        <f aca="false">IFERROR(INDEX('Stakeholder Register'!$J$5:$J$54,MATCH(LARGE('Stakeholder Register'!$Z$5:$Z$54,4),'Stakeholder Register'!$Z$5:$Z$54,0)),"")</f>
        <v>1</v>
      </c>
      <c r="G36" s="12" t="str">
        <f aca="false">IFERROR(INDEX('Stakeholder Register'!$S$5:$S$54,MATCH(LARGE('Stakeholder Register'!$Z$5:$Z$54,4),'Stakeholder Register'!$Z$5:$Z$54,0)),"")</f>
        <v>Pre-wire CR-01 Option C and business case before steering committee</v>
      </c>
      <c r="H36" s="12"/>
      <c r="I36" s="15" t="n">
        <f aca="false">IFERROR(INDEX('Stakeholder Register'!$T$5:$T$54,MATCH(LARGE('Stakeholder Register'!$Z$5:$Z$54,4),'Stakeholder Register'!$Z$5:$Z$54,0)),"")</f>
        <v>46279</v>
      </c>
    </row>
    <row r="37" customFormat="false" ht="43.5" hidden="false" customHeight="true" outlineLevel="0" collapsed="false">
      <c r="B37" s="14" t="str">
        <f aca="false">IFERROR(INDEX('Stakeholder Register'!$A$5:$A$54,MATCH(LARGE('Stakeholder Register'!$Z$5:$Z$54,5),'Stakeholder Register'!$Z$5:$Z$54,0)),"")</f>
        <v>SH-02</v>
      </c>
      <c r="C37" s="12" t="str">
        <f aca="false">IFERROR(INDEX('Stakeholder Register'!$B$5:$B$54,MATCH(LARGE('Stakeholder Register'!$Z$5:$Z$54,5),'Stakeholder Register'!$Z$5:$Z$54,0)),"")</f>
        <v>Steering Committee (finance, technology and risk delegates)</v>
      </c>
      <c r="D37" s="14" t="str">
        <f aca="false">IFERROR(INDEX('Stakeholder Register'!$H$5:$H$54,MATCH(LARGE('Stakeholder Register'!$Z$5:$Z$54,5),'Stakeholder Register'!$Z$5:$Z$54,0)),"")</f>
        <v>Neutral</v>
      </c>
      <c r="E37" s="14" t="str">
        <f aca="false">IFERROR(INDEX('Stakeholder Register'!$I$5:$I$54,MATCH(LARGE('Stakeholder Register'!$Z$5:$Z$54,5),'Stakeholder Register'!$Z$5:$Z$54,0)),"")</f>
        <v>Supportive</v>
      </c>
      <c r="F37" s="30" t="n">
        <f aca="false">IFERROR(INDEX('Stakeholder Register'!$J$5:$J$54,MATCH(LARGE('Stakeholder Register'!$Z$5:$Z$54,5),'Stakeholder Register'!$Z$5:$Z$54,0)),"")</f>
        <v>1</v>
      </c>
      <c r="G37" s="12" t="str">
        <f aca="false">IFERROR(INDEX('Stakeholder Register'!$S$5:$S$54,MATCH(LARGE('Stakeholder Register'!$Z$5:$Z$54,5),'Stakeholder Register'!$Z$5:$Z$54,0)),"")</f>
        <v>Circulate pre-read two days before next meeting</v>
      </c>
      <c r="H37" s="12"/>
      <c r="I37" s="15" t="n">
        <f aca="false">IFERROR(INDEX('Stakeholder Register'!$T$5:$T$54,MATCH(LARGE('Stakeholder Register'!$Z$5:$Z$54,5),'Stakeholder Register'!$Z$5:$Z$54,0)),"")</f>
        <v>46287</v>
      </c>
    </row>
    <row r="38" customFormat="false" ht="43.5" hidden="false" customHeight="true" outlineLevel="0" collapsed="false">
      <c r="B38" s="14" t="str">
        <f aca="false">IFERROR(INDEX('Stakeholder Register'!$A$5:$A$54,MATCH(LARGE('Stakeholder Register'!$Z$5:$Z$54,6),'Stakeholder Register'!$Z$5:$Z$54,0)),"")</f>
        <v>SH-03</v>
      </c>
      <c r="C38" s="12" t="str">
        <f aca="false">IFERROR(INDEX('Stakeholder Register'!$B$5:$B$54,MATCH(LARGE('Stakeholder Register'!$Z$5:$Z$54,6),'Stakeholder Register'!$Z$5:$Z$54,0)),"")</f>
        <v>Dispute Ops Lead</v>
      </c>
      <c r="D38" s="14" t="str">
        <f aca="false">IFERROR(INDEX('Stakeholder Register'!$H$5:$H$54,MATCH(LARGE('Stakeholder Register'!$Z$5:$Z$54,6),'Stakeholder Register'!$Z$5:$Z$54,0)),"")</f>
        <v>Supportive</v>
      </c>
      <c r="E38" s="14" t="str">
        <f aca="false">IFERROR(INDEX('Stakeholder Register'!$I$5:$I$54,MATCH(LARGE('Stakeholder Register'!$Z$5:$Z$54,6),'Stakeholder Register'!$Z$5:$Z$54,0)),"")</f>
        <v>Leading</v>
      </c>
      <c r="F38" s="30" t="n">
        <f aca="false">IFERROR(INDEX('Stakeholder Register'!$J$5:$J$54,MATCH(LARGE('Stakeholder Register'!$Z$5:$Z$54,6),'Stakeholder Register'!$Z$5:$Z$54,0)),"")</f>
        <v>1</v>
      </c>
      <c r="G38" s="12" t="str">
        <f aca="false">IFERROR(INDEX('Stakeholder Register'!$S$5:$S$54,MATCH(LARGE('Stakeholder Register'!$Z$5:$Z$54,6),'Stakeholder Register'!$Z$5:$Z$54,0)),"")</f>
        <v>Confirm UAT SME bookings for November</v>
      </c>
      <c r="H38" s="12"/>
      <c r="I38" s="15" t="n">
        <f aca="false">IFERROR(INDEX('Stakeholder Register'!$T$5:$T$54,MATCH(LARGE('Stakeholder Register'!$Z$5:$Z$54,6),'Stakeholder Register'!$Z$5:$Z$54,0)),"")</f>
        <v>46283</v>
      </c>
    </row>
    <row r="40" customFormat="false" ht="19.5" hidden="false" customHeight="true" outlineLevel="0" collapsed="false">
      <c r="B40" s="7" t="s">
        <v>89</v>
      </c>
      <c r="C40" s="8"/>
      <c r="D40" s="8"/>
      <c r="E40" s="8"/>
      <c r="F40" s="8"/>
      <c r="G40" s="8"/>
      <c r="H40" s="8"/>
      <c r="I40" s="8"/>
    </row>
    <row r="41" customFormat="false" ht="31.5" hidden="false" customHeight="true" outlineLevel="0" collapsed="false">
      <c r="B41" s="10" t="s">
        <v>59</v>
      </c>
      <c r="C41" s="10" t="s">
        <v>90</v>
      </c>
      <c r="D41" s="10"/>
      <c r="E41" s="10" t="s">
        <v>91</v>
      </c>
      <c r="F41" s="10" t="s">
        <v>92</v>
      </c>
      <c r="G41" s="10"/>
      <c r="H41" s="10"/>
      <c r="I41" s="10" t="s">
        <v>93</v>
      </c>
    </row>
    <row r="42" customFormat="false" ht="30" hidden="false" customHeight="true" outlineLevel="0" collapsed="false">
      <c r="B42" s="15" t="n">
        <f aca="false">IFERROR(INDEX(Governance!$I$5:$I$34,MATCH(SMALL(Governance!$K$5:$K$34,1),Governance!$K$5:$K$34,0)),"")</f>
        <v>46276</v>
      </c>
      <c r="C42" s="11" t="str">
        <f aca="false">IFERROR(INDEX(Governance!$A$5:$A$34,MATCH(SMALL(Governance!$K$5:$K$34,1),Governance!$K$5:$K$34,0)),"")</f>
        <v>Sprint review</v>
      </c>
      <c r="D42" s="11"/>
      <c r="E42" s="12" t="str">
        <f aca="false">IFERROR(INDEX(Governance!$C$5:$C$34,MATCH(SMALL(Governance!$K$5:$K$34,1),Governance!$K$5:$K$34,0)),"")</f>
        <v>Product Owner</v>
      </c>
      <c r="F42" s="12" t="str">
        <f aca="false">IFERROR(INDEX(Governance!$H$5:$H$34,MATCH(SMALL(Governance!$K$5:$K$34,1),Governance!$K$5:$K$34,0)),"")</f>
        <v>Accepted stories; backlog changes</v>
      </c>
      <c r="G42" s="12"/>
      <c r="H42" s="12"/>
      <c r="I42" s="14" t="n">
        <f aca="false">IFERROR(INDEX(Governance!$J$5:$J$34,MATCH(SMALL(Governance!$K$5:$K$34,1),Governance!$K$5:$K$34,0)),"")</f>
        <v>1</v>
      </c>
    </row>
    <row r="43" customFormat="false" ht="30" hidden="false" customHeight="true" outlineLevel="0" collapsed="false">
      <c r="B43" s="15" t="n">
        <f aca="false">IFERROR(INDEX(Governance!$I$5:$I$34,MATCH(SMALL(Governance!$K$5:$K$34,2),Governance!$K$5:$K$34,0)),"")</f>
        <v>46279</v>
      </c>
      <c r="C43" s="11" t="str">
        <f aca="false">IFERROR(INDEX(Governance!$A$5:$A$34,MATCH(SMALL(Governance!$K$5:$K$34,2),Governance!$K$5:$K$34,0)),"")</f>
        <v>Sponsor 1:1</v>
      </c>
      <c r="D43" s="11"/>
      <c r="E43" s="12" t="str">
        <f aca="false">IFERROR(INDEX(Governance!$C$5:$C$34,MATCH(SMALL(Governance!$K$5:$K$34,2),Governance!$K$5:$K$34,0)),"")</f>
        <v>Engagement Lead</v>
      </c>
      <c r="F43" s="12" t="str">
        <f aca="false">IFERROR(INDEX(Governance!$H$5:$H$34,MATCH(SMALL(Governance!$K$5:$K$34,2),Governance!$K$5:$K$34,0)),"")</f>
        <v>Medium-impact change decisions; escalation support</v>
      </c>
      <c r="G43" s="12"/>
      <c r="H43" s="12"/>
      <c r="I43" s="14" t="n">
        <f aca="false">IFERROR(INDEX(Governance!$J$5:$J$34,MATCH(SMALL(Governance!$K$5:$K$34,2),Governance!$K$5:$K$34,0)),"")</f>
        <v>4</v>
      </c>
    </row>
    <row r="44" customFormat="false" ht="30" hidden="false" customHeight="true" outlineLevel="0" collapsed="false">
      <c r="B44" s="15" t="n">
        <f aca="false">IFERROR(INDEX(Governance!$I$5:$I$34,MATCH(SMALL(Governance!$K$5:$K$34,3),Governance!$K$5:$K$34,0)),"")</f>
        <v>46279</v>
      </c>
      <c r="C44" s="11" t="str">
        <f aca="false">IFERROR(INDEX(Governance!$A$5:$A$34,MATCH(SMALL(Governance!$K$5:$K$34,3),Governance!$K$5:$K$34,0)),"")</f>
        <v>Sprint planning</v>
      </c>
      <c r="D44" s="11"/>
      <c r="E44" s="12" t="str">
        <f aca="false">IFERROR(INDEX(Governance!$C$5:$C$34,MATCH(SMALL(Governance!$K$5:$K$34,3),Governance!$K$5:$K$34,0)),"")</f>
        <v>Product Owner</v>
      </c>
      <c r="F44" s="12" t="str">
        <f aca="false">IFERROR(INDEX(Governance!$H$5:$H$34,MATCH(SMALL(Governance!$K$5:$K$34,3),Governance!$K$5:$K$34,0)),"")</f>
        <v>Sprint goal and committed items</v>
      </c>
      <c r="G44" s="12"/>
      <c r="H44" s="12"/>
      <c r="I44" s="14" t="n">
        <f aca="false">IFERROR(INDEX(Governance!$J$5:$J$34,MATCH(SMALL(Governance!$K$5:$K$34,3),Governance!$K$5:$K$34,0)),"")</f>
        <v>4</v>
      </c>
    </row>
    <row r="45" customFormat="false" ht="30" hidden="false" customHeight="true" outlineLevel="0" collapsed="false">
      <c r="B45" s="15" t="n">
        <f aca="false">IFERROR(INDEX(Governance!$I$5:$I$34,MATCH(SMALL(Governance!$K$5:$K$34,4),Governance!$K$5:$K$34,0)),"")</f>
        <v>46280</v>
      </c>
      <c r="C45" s="11" t="str">
        <f aca="false">IFERROR(INDEX(Governance!$A$5:$A$34,MATCH(SMALL(Governance!$K$5:$K$34,4),Governance!$K$5:$K$34,0)),"")</f>
        <v>Backlog refinement</v>
      </c>
      <c r="D45" s="11"/>
      <c r="E45" s="12" t="str">
        <f aca="false">IFERROR(INDEX(Governance!$C$5:$C$34,MATCH(SMALL(Governance!$K$5:$K$34,4),Governance!$K$5:$K$34,0)),"")</f>
        <v>Product Owner</v>
      </c>
      <c r="F45" s="12" t="str">
        <f aca="false">IFERROR(INDEX(Governance!$H$5:$H$34,MATCH(SMALL(Governance!$K$5:$K$34,4),Governance!$K$5:$K$34,0)),"")</f>
        <v>Refined and estimated stories</v>
      </c>
      <c r="G45" s="12"/>
      <c r="H45" s="12"/>
      <c r="I45" s="14" t="n">
        <f aca="false">IFERROR(INDEX(Governance!$J$5:$J$34,MATCH(SMALL(Governance!$K$5:$K$34,4),Governance!$K$5:$K$34,0)),"")</f>
        <v>5</v>
      </c>
    </row>
    <row r="46" customFormat="false" ht="30" hidden="false" customHeight="true" outlineLevel="0" collapsed="false">
      <c r="B46" s="15" t="n">
        <f aca="false">IFERROR(INDEX(Governance!$I$5:$I$34,MATCH(SMALL(Governance!$K$5:$K$34,5),Governance!$K$5:$K$34,0)),"")</f>
        <v>46280</v>
      </c>
      <c r="C46" s="11" t="str">
        <f aca="false">IFERROR(INDEX(Governance!$A$5:$A$34,MATCH(SMALL(Governance!$K$5:$K$34,5),Governance!$K$5:$K$34,0)),"")</f>
        <v>Design authority</v>
      </c>
      <c r="D46" s="11"/>
      <c r="E46" s="12" t="str">
        <f aca="false">IFERROR(INDEX(Governance!$C$5:$C$34,MATCH(SMALL(Governance!$K$5:$K$34,5),Governance!$K$5:$K$34,0)),"")</f>
        <v>Tech Lead</v>
      </c>
      <c r="F46" s="12" t="str">
        <f aca="false">IFERROR(INDEX(Governance!$H$5:$H$34,MATCH(SMALL(Governance!$K$5:$K$34,5),Governance!$K$5:$K$34,0)),"")</f>
        <v>Design sign-off (I-03); architecture decisions</v>
      </c>
      <c r="G46" s="12"/>
      <c r="H46" s="12"/>
      <c r="I46" s="14" t="n">
        <f aca="false">IFERROR(INDEX(Governance!$J$5:$J$34,MATCH(SMALL(Governance!$K$5:$K$34,5),Governance!$K$5:$K$34,0)),"")</f>
        <v>5</v>
      </c>
    </row>
    <row r="47" customFormat="false" ht="30" hidden="false" customHeight="true" outlineLevel="0" collapsed="false">
      <c r="B47" s="15" t="n">
        <f aca="false">IFERROR(INDEX(Governance!$I$5:$I$34,MATCH(SMALL(Governance!$K$5:$K$34,6),Governance!$K$5:$K$34,0)),"")</f>
        <v>46280</v>
      </c>
      <c r="C47" s="11" t="str">
        <f aca="false">IFERROR(INDEX(Governance!$A$5:$A$34,MATCH(SMALL(Governance!$K$5:$K$34,6),Governance!$K$5:$K$34,0)),"")</f>
        <v>Processor vendor sync</v>
      </c>
      <c r="D47" s="11"/>
      <c r="E47" s="12" t="str">
        <f aca="false">IFERROR(INDEX(Governance!$C$5:$C$34,MATCH(SMALL(Governance!$K$5:$K$34,6),Governance!$K$5:$K$34,0)),"")</f>
        <v>Project Manager</v>
      </c>
      <c r="F47" s="12" t="str">
        <f aca="false">IFERROR(INDEX(Governance!$H$5:$H$34,MATCH(SMALL(Governance!$K$5:$K$34,6),Governance!$K$5:$K$34,0)),"")</f>
        <v>Vendor actions and dates; escalation if dates slip</v>
      </c>
      <c r="G47" s="12"/>
      <c r="H47" s="12"/>
      <c r="I47" s="14" t="n">
        <f aca="false">IFERROR(INDEX(Governance!$J$5:$J$34,MATCH(SMALL(Governance!$K$5:$K$34,6),Governance!$K$5:$K$34,0)),"")</f>
        <v>5</v>
      </c>
    </row>
    <row r="48" customFormat="false" ht="30" hidden="false" customHeight="true" outlineLevel="0" collapsed="false">
      <c r="B48" s="15" t="n">
        <f aca="false">IFERROR(INDEX(Governance!$I$5:$I$34,MATCH(SMALL(Governance!$K$5:$K$34,7),Governance!$K$5:$K$34,0)),"")</f>
        <v>46281</v>
      </c>
      <c r="C48" s="11" t="str">
        <f aca="false">IFERROR(INDEX(Governance!$A$5:$A$34,MATCH(SMALL(Governance!$K$5:$K$34,7),Governance!$K$5:$K$34,0)),"")</f>
        <v>Weekly status and RAID / change review</v>
      </c>
      <c r="D48" s="11"/>
      <c r="E48" s="12" t="str">
        <f aca="false">IFERROR(INDEX(Governance!$C$5:$C$34,MATCH(SMALL(Governance!$K$5:$K$34,7),Governance!$K$5:$K$34,0)),"")</f>
        <v>Project Manager</v>
      </c>
      <c r="F48" s="12" t="str">
        <f aca="false">IFERROR(INDEX(Governance!$H$5:$H$34,MATCH(SMALL(Governance!$K$5:$K$34,7),Governance!$K$5:$K$34,0)),"")</f>
        <v>Owners and dates for actions; items to escalate</v>
      </c>
      <c r="G48" s="12"/>
      <c r="H48" s="12"/>
      <c r="I48" s="14" t="n">
        <f aca="false">IFERROR(INDEX(Governance!$J$5:$J$34,MATCH(SMALL(Governance!$K$5:$K$34,7),Governance!$K$5:$K$34,0)),"")</f>
        <v>6</v>
      </c>
    </row>
    <row r="49" customFormat="false" ht="30" hidden="false" customHeight="true" outlineLevel="0" collapsed="false">
      <c r="B49" s="15" t="n">
        <f aca="false">IFERROR(INDEX(Governance!$I$5:$I$34,MATCH(SMALL(Governance!$K$5:$K$34,8),Governance!$K$5:$K$34,0)),"")</f>
        <v>46281</v>
      </c>
      <c r="C49" s="11" t="str">
        <f aca="false">IFERROR(INDEX(Governance!$A$5:$A$34,MATCH(SMALL(Governance!$K$5:$K$34,8),Governance!$K$5:$K$34,0)),"")</f>
        <v>Compliance and security checkpoint</v>
      </c>
      <c r="D49" s="11"/>
      <c r="E49" s="12" t="str">
        <f aca="false">IFERROR(INDEX(Governance!$C$5:$C$34,MATCH(SMALL(Governance!$K$5:$K$34,8),Governance!$K$5:$K$34,0)),"")</f>
        <v>Compliance Lead</v>
      </c>
      <c r="F49" s="12" t="str">
        <f aca="false">IFERROR(INDEX(Governance!$H$5:$H$34,MATCH(SMALL(Governance!$K$5:$K$34,8),Governance!$K$5:$K$34,0)),"")</f>
        <v>Evidence gaps closed; compliance risks escalated</v>
      </c>
      <c r="G49" s="12"/>
      <c r="H49" s="12"/>
      <c r="I49" s="14" t="n">
        <f aca="false">IFERROR(INDEX(Governance!$J$5:$J$34,MATCH(SMALL(Governance!$K$5:$K$34,8),Governance!$K$5:$K$34,0)),"")</f>
        <v>6</v>
      </c>
    </row>
    <row r="50" customFormat="false" ht="30" hidden="false" customHeight="true" outlineLevel="0" collapsed="false">
      <c r="B50" s="15" t="n">
        <f aca="false">IFERROR(INDEX(Governance!$I$5:$I$34,MATCH(SMALL(Governance!$K$5:$K$34,9),Governance!$K$5:$K$34,0)),"")</f>
        <v>46282</v>
      </c>
      <c r="C50" s="11" t="str">
        <f aca="false">IFERROR(INDEX(Governance!$A$5:$A$34,MATCH(SMALL(Governance!$K$5:$K$34,9),Governance!$K$5:$K$34,0)),"")</f>
        <v>Outcome definitions decision meeting</v>
      </c>
      <c r="D50" s="11"/>
      <c r="E50" s="12" t="str">
        <f aca="false">IFERROR(INDEX(Governance!$C$5:$C$34,MATCH(SMALL(Governance!$K$5:$K$34,9),Governance!$K$5:$K$34,0)),"")</f>
        <v>Business Sponsor</v>
      </c>
      <c r="F50" s="12" t="str">
        <f aca="false">IFERROR(INDEX(Governance!$H$5:$H$34,MATCH(SMALL(Governance!$K$5:$K$34,9),Governance!$K$5:$K$34,0)),"")</f>
        <v>CR-05 decision; KPI-01 and KPI-02 status updated</v>
      </c>
      <c r="G50" s="12"/>
      <c r="H50" s="12"/>
      <c r="I50" s="14" t="n">
        <f aca="false">IFERROR(INDEX(Governance!$J$5:$J$34,MATCH(SMALL(Governance!$K$5:$K$34,9),Governance!$K$5:$K$34,0)),"")</f>
        <v>7</v>
      </c>
    </row>
    <row r="51" customFormat="false" ht="30" hidden="false" customHeight="true" outlineLevel="0" collapsed="false">
      <c r="B51" s="15" t="n">
        <f aca="false">IFERROR(INDEX(Governance!$I$5:$I$34,MATCH(SMALL(Governance!$K$5:$K$34,10),Governance!$K$5:$K$34,0)),"")</f>
        <v>46289</v>
      </c>
      <c r="C51" s="11" t="str">
        <f aca="false">IFERROR(INDEX(Governance!$A$5:$A$34,MATCH(SMALL(Governance!$K$5:$K$34,10),Governance!$K$5:$K$34,0)),"")</f>
        <v>Steering Committee</v>
      </c>
      <c r="D51" s="11"/>
      <c r="E51" s="12" t="str">
        <f aca="false">IFERROR(INDEX(Governance!$C$5:$C$34,MATCH(SMALL(Governance!$K$5:$K$34,10),Governance!$K$5:$K$34,0)),"")</f>
        <v>Business Sponsor</v>
      </c>
      <c r="F51" s="12" t="str">
        <f aca="false">IFERROR(INDEX(Governance!$H$5:$H$34,MATCH(SMALL(Governance!$K$5:$K$34,10),Governance!$K$5:$K$34,0)),"")</f>
        <v>Approve High-impact changes, go / no-go decisions, escalations</v>
      </c>
      <c r="G51" s="12"/>
      <c r="H51" s="12"/>
      <c r="I51" s="14" t="n">
        <f aca="false">IFERROR(INDEX(Governance!$J$5:$J$34,MATCH(SMALL(Governance!$K$5:$K$34,10),Governance!$K$5:$K$34,0)),"")</f>
        <v>14</v>
      </c>
    </row>
    <row r="53" customFormat="false" ht="19.5" hidden="false" customHeight="true" outlineLevel="0" collapsed="false">
      <c r="B53" s="7" t="s">
        <v>94</v>
      </c>
      <c r="C53" s="8"/>
      <c r="D53" s="8"/>
      <c r="E53" s="8"/>
      <c r="F53" s="8"/>
      <c r="G53" s="8"/>
      <c r="H53" s="8"/>
      <c r="I53" s="8"/>
    </row>
    <row r="54" customFormat="false" ht="31.5" hidden="false" customHeight="true" outlineLevel="0" collapsed="false">
      <c r="B54" s="10" t="s">
        <v>82</v>
      </c>
      <c r="C54" s="10" t="s">
        <v>95</v>
      </c>
      <c r="D54" s="10"/>
      <c r="E54" s="10" t="s">
        <v>96</v>
      </c>
      <c r="F54" s="10" t="s">
        <v>97</v>
      </c>
      <c r="G54" s="10" t="s">
        <v>88</v>
      </c>
      <c r="H54" s="10" t="s">
        <v>98</v>
      </c>
      <c r="I54" s="10" t="s">
        <v>99</v>
      </c>
    </row>
    <row r="55" customFormat="false" ht="30" hidden="false" customHeight="true" outlineLevel="0" collapsed="false">
      <c r="B55" s="14" t="str">
        <f aca="false">IFERROR(INDEX(Deliverables!$A$5:$A$54,MATCH(SMALL(Deliverables!$K$5:$K$54,1),Deliverables!$K$5:$K$54,0)),"")</f>
        <v>DL-07</v>
      </c>
      <c r="C55" s="11" t="str">
        <f aca="false">IFERROR(INDEX(Deliverables!$B$5:$B$54,MATCH(SMALL(Deliverables!$K$5:$K$54,1),Deliverables!$K$5:$K$54,0)),"")</f>
        <v>Figma MVP designs</v>
      </c>
      <c r="D55" s="11"/>
      <c r="E55" s="12" t="str">
        <f aca="false">IFERROR(INDEX(Deliverables!$E$5:$E$54,MATCH(SMALL(Deliverables!$K$5:$K$54,1),Deliverables!$K$5:$K$54,0)),"")</f>
        <v>UX Designer</v>
      </c>
      <c r="F55" s="12" t="str">
        <f aca="false">IFERROR(INDEX(Deliverables!$F$5:$F$54,MATCH(SMALL(Deliverables!$K$5:$K$54,1),Deliverables!$K$5:$K$54,0)),"")</f>
        <v>Design authority</v>
      </c>
      <c r="G55" s="15" t="n">
        <f aca="false">IFERROR(INDEX(Deliverables!$G$5:$G$54,MATCH(SMALL(Deliverables!$K$5:$K$54,1),Deliverables!$K$5:$K$54,0)),"")</f>
        <v>46280</v>
      </c>
      <c r="H55" s="14" t="str">
        <f aca="false">IFERROR(INDEX(Deliverables!$H$5:$H$54,MATCH(SMALL(Deliverables!$K$5:$K$54,1),Deliverables!$K$5:$K$54,0)),"")</f>
        <v>In Review</v>
      </c>
      <c r="I55" s="14" t="str">
        <f aca="false">IFERROR(INDEX(Deliverables!$J$5:$J$54,MATCH(SMALL(Deliverables!$K$5:$K$54,1),Deliverables!$K$5:$K$54,0)),"")</f>
        <v>No</v>
      </c>
    </row>
    <row r="56" customFormat="false" ht="30" hidden="false" customHeight="true" outlineLevel="0" collapsed="false">
      <c r="B56" s="14" t="str">
        <f aca="false">IFERROR(INDEX(Deliverables!$A$5:$A$54,MATCH(SMALL(Deliverables!$K$5:$K$54,2),Deliverables!$K$5:$K$54,0)),"")</f>
        <v>DL-11</v>
      </c>
      <c r="C56" s="11" t="str">
        <f aca="false">IFERROR(INDEX(Deliverables!$B$5:$B$54,MATCH(SMALL(Deliverables!$K$5:$K$54,2),Deliverables!$K$5:$K$54,0)),"")</f>
        <v>Stakeholder engagement plan</v>
      </c>
      <c r="D56" s="11"/>
      <c r="E56" s="12" t="str">
        <f aca="false">IFERROR(INDEX(Deliverables!$E$5:$E$54,MATCH(SMALL(Deliverables!$K$5:$K$54,2),Deliverables!$K$5:$K$54,0)),"")</f>
        <v>Product Owner and Engagement Lead</v>
      </c>
      <c r="F56" s="12" t="str">
        <f aca="false">IFERROR(INDEX(Deliverables!$F$5:$F$54,MATCH(SMALL(Deliverables!$K$5:$K$54,2),Deliverables!$K$5:$K$54,0)),"")</f>
        <v>Business Sponsor</v>
      </c>
      <c r="G56" s="15" t="n">
        <f aca="false">IFERROR(INDEX(Deliverables!$G$5:$G$54,MATCH(SMALL(Deliverables!$K$5:$K$54,2),Deliverables!$K$5:$K$54,0)),"")</f>
        <v>46282</v>
      </c>
      <c r="H56" s="14" t="str">
        <f aca="false">IFERROR(INDEX(Deliverables!$H$5:$H$54,MATCH(SMALL(Deliverables!$K$5:$K$54,2),Deliverables!$K$5:$K$54,0)),"")</f>
        <v>In Review</v>
      </c>
      <c r="I56" s="14" t="str">
        <f aca="false">IFERROR(INDEX(Deliverables!$J$5:$J$54,MATCH(SMALL(Deliverables!$K$5:$K$54,2),Deliverables!$K$5:$K$54,0)),"")</f>
        <v>No</v>
      </c>
    </row>
    <row r="57" customFormat="false" ht="30" hidden="false" customHeight="true" outlineLevel="0" collapsed="false">
      <c r="B57" s="14" t="str">
        <f aca="false">IFERROR(INDEX(Deliverables!$A$5:$A$54,MATCH(SMALL(Deliverables!$K$5:$K$54,3),Deliverables!$K$5:$K$54,0)),"")</f>
        <v>DL-09</v>
      </c>
      <c r="C57" s="11" t="str">
        <f aca="false">IFERROR(INDEX(Deliverables!$B$5:$B$54,MATCH(SMALL(Deliverables!$K$5:$K$54,3),Deliverables!$K$5:$K$54,0)),"")</f>
        <v>KPI and metrics definitions</v>
      </c>
      <c r="D57" s="11"/>
      <c r="E57" s="12" t="str">
        <f aca="false">IFERROR(INDEX(Deliverables!$E$5:$E$54,MATCH(SMALL(Deliverables!$K$5:$K$54,3),Deliverables!$K$5:$K$54,0)),"")</f>
        <v>Product Owner</v>
      </c>
      <c r="F57" s="12" t="str">
        <f aca="false">IFERROR(INDEX(Deliverables!$F$5:$F$54,MATCH(SMALL(Deliverables!$K$5:$K$54,3),Deliverables!$K$5:$K$54,0)),"")</f>
        <v>Business Sponsor</v>
      </c>
      <c r="G57" s="15" t="n">
        <f aca="false">IFERROR(INDEX(Deliverables!$G$5:$G$54,MATCH(SMALL(Deliverables!$K$5:$K$54,3),Deliverables!$K$5:$K$54,0)),"")</f>
        <v>46283</v>
      </c>
      <c r="H57" s="14" t="str">
        <f aca="false">IFERROR(INDEX(Deliverables!$H$5:$H$54,MATCH(SMALL(Deliverables!$K$5:$K$54,3),Deliverables!$K$5:$K$54,0)),"")</f>
        <v>In Review</v>
      </c>
      <c r="I57" s="14" t="str">
        <f aca="false">IFERROR(INDEX(Deliverables!$J$5:$J$54,MATCH(SMALL(Deliverables!$K$5:$K$54,3),Deliverables!$K$5:$K$54,0)),"")</f>
        <v>No</v>
      </c>
    </row>
    <row r="58" customFormat="false" ht="30" hidden="false" customHeight="true" outlineLevel="0" collapsed="false">
      <c r="B58" s="14" t="str">
        <f aca="false">IFERROR(INDEX(Deliverables!$A$5:$A$54,MATCH(SMALL(Deliverables!$K$5:$K$54,4),Deliverables!$K$5:$K$54,0)),"")</f>
        <v>DL-10</v>
      </c>
      <c r="C58" s="11" t="str">
        <f aca="false">IFERROR(INDEX(Deliverables!$B$5:$B$54,MATCH(SMALL(Deliverables!$K$5:$K$54,4),Deliverables!$K$5:$K$54,0)),"")</f>
        <v>Business case and GTM plan</v>
      </c>
      <c r="D58" s="11"/>
      <c r="E58" s="12" t="str">
        <f aca="false">IFERROR(INDEX(Deliverables!$E$5:$E$54,MATCH(SMALL(Deliverables!$K$5:$K$54,4),Deliverables!$K$5:$K$54,0)),"")</f>
        <v>Product Owner</v>
      </c>
      <c r="F58" s="12" t="str">
        <f aca="false">IFERROR(INDEX(Deliverables!$F$5:$F$54,MATCH(SMALL(Deliverables!$K$5:$K$54,4),Deliverables!$K$5:$K$54,0)),"")</f>
        <v>Steering Committee</v>
      </c>
      <c r="G58" s="15" t="n">
        <f aca="false">IFERROR(INDEX(Deliverables!$G$5:$G$54,MATCH(SMALL(Deliverables!$K$5:$K$54,4),Deliverables!$K$5:$K$54,0)),"")</f>
        <v>46289</v>
      </c>
      <c r="H58" s="14" t="str">
        <f aca="false">IFERROR(INDEX(Deliverables!$H$5:$H$54,MATCH(SMALL(Deliverables!$K$5:$K$54,4),Deliverables!$K$5:$K$54,0)),"")</f>
        <v>In Review</v>
      </c>
      <c r="I58" s="14" t="str">
        <f aca="false">IFERROR(INDEX(Deliverables!$J$5:$J$54,MATCH(SMALL(Deliverables!$K$5:$K$54,4),Deliverables!$K$5:$K$54,0)),"")</f>
        <v>No</v>
      </c>
    </row>
    <row r="59" customFormat="false" ht="30" hidden="false" customHeight="true" outlineLevel="0" collapsed="false">
      <c r="B59" s="14" t="str">
        <f aca="false">IFERROR(INDEX(Deliverables!$A$5:$A$54,MATCH(SMALL(Deliverables!$K$5:$K$54,5),Deliverables!$K$5:$K$54,0)),"")</f>
        <v/>
      </c>
      <c r="C59" s="11" t="str">
        <f aca="false">IFERROR(INDEX(Deliverables!$B$5:$B$54,MATCH(SMALL(Deliverables!$K$5:$K$54,5),Deliverables!$K$5:$K$54,0)),"")</f>
        <v/>
      </c>
      <c r="D59" s="11"/>
      <c r="E59" s="12" t="str">
        <f aca="false">IFERROR(INDEX(Deliverables!$E$5:$E$54,MATCH(SMALL(Deliverables!$K$5:$K$54,5),Deliverables!$K$5:$K$54,0)),"")</f>
        <v/>
      </c>
      <c r="F59" s="12" t="str">
        <f aca="false">IFERROR(INDEX(Deliverables!$F$5:$F$54,MATCH(SMALL(Deliverables!$K$5:$K$54,5),Deliverables!$K$5:$K$54,0)),"")</f>
        <v/>
      </c>
      <c r="G59" s="15" t="str">
        <f aca="false">IFERROR(INDEX(Deliverables!$G$5:$G$54,MATCH(SMALL(Deliverables!$K$5:$K$54,5),Deliverables!$K$5:$K$54,0)),"")</f>
        <v/>
      </c>
      <c r="H59" s="14" t="str">
        <f aca="false">IFERROR(INDEX(Deliverables!$H$5:$H$54,MATCH(SMALL(Deliverables!$K$5:$K$54,5),Deliverables!$K$5:$K$54,0)),"")</f>
        <v/>
      </c>
      <c r="I59" s="14" t="str">
        <f aca="false">IFERROR(INDEX(Deliverables!$J$5:$J$54,MATCH(SMALL(Deliverables!$K$5:$K$54,5),Deliverables!$K$5:$K$54,0)),"")</f>
        <v/>
      </c>
    </row>
    <row r="60" customFormat="false" ht="30" hidden="false" customHeight="true" outlineLevel="0" collapsed="false">
      <c r="B60" s="14" t="str">
        <f aca="false">IFERROR(INDEX(Deliverables!$A$5:$A$54,MATCH(SMALL(Deliverables!$K$5:$K$54,6),Deliverables!$K$5:$K$54,0)),"")</f>
        <v/>
      </c>
      <c r="C60" s="11" t="str">
        <f aca="false">IFERROR(INDEX(Deliverables!$B$5:$B$54,MATCH(SMALL(Deliverables!$K$5:$K$54,6),Deliverables!$K$5:$K$54,0)),"")</f>
        <v/>
      </c>
      <c r="D60" s="11"/>
      <c r="E60" s="12" t="str">
        <f aca="false">IFERROR(INDEX(Deliverables!$E$5:$E$54,MATCH(SMALL(Deliverables!$K$5:$K$54,6),Deliverables!$K$5:$K$54,0)),"")</f>
        <v/>
      </c>
      <c r="F60" s="12" t="str">
        <f aca="false">IFERROR(INDEX(Deliverables!$F$5:$F$54,MATCH(SMALL(Deliverables!$K$5:$K$54,6),Deliverables!$K$5:$K$54,0)),"")</f>
        <v/>
      </c>
      <c r="G60" s="15" t="str">
        <f aca="false">IFERROR(INDEX(Deliverables!$G$5:$G$54,MATCH(SMALL(Deliverables!$K$5:$K$54,6),Deliverables!$K$5:$K$54,0)),"")</f>
        <v/>
      </c>
      <c r="H60" s="14" t="str">
        <f aca="false">IFERROR(INDEX(Deliverables!$H$5:$H$54,MATCH(SMALL(Deliverables!$K$5:$K$54,6),Deliverables!$K$5:$K$54,0)),"")</f>
        <v/>
      </c>
      <c r="I60" s="14" t="str">
        <f aca="false">IFERROR(INDEX(Deliverables!$J$5:$J$54,MATCH(SMALL(Deliverables!$K$5:$K$54,6),Deliverables!$K$5:$K$54,0)),"")</f>
        <v/>
      </c>
    </row>
    <row r="62" customFormat="false" ht="19.5" hidden="false" customHeight="true" outlineLevel="0" collapsed="false">
      <c r="B62" s="7" t="s">
        <v>100</v>
      </c>
      <c r="C62" s="8"/>
      <c r="D62" s="8"/>
      <c r="E62" s="8"/>
      <c r="F62" s="8"/>
      <c r="G62" s="8"/>
      <c r="H62" s="8"/>
      <c r="I62" s="8"/>
    </row>
    <row r="63" customFormat="false" ht="31.5" hidden="false" customHeight="true" outlineLevel="0" collapsed="false">
      <c r="B63" s="10" t="s">
        <v>101</v>
      </c>
      <c r="C63" s="10"/>
      <c r="D63" s="10" t="s">
        <v>67</v>
      </c>
      <c r="E63" s="10" t="s">
        <v>31</v>
      </c>
      <c r="F63" s="10" t="s">
        <v>102</v>
      </c>
      <c r="G63" s="10" t="s">
        <v>69</v>
      </c>
      <c r="H63" s="10" t="s">
        <v>103</v>
      </c>
      <c r="I63" s="10"/>
    </row>
    <row r="64" customFormat="false" ht="15" hidden="false" customHeight="true" outlineLevel="0" collapsed="false">
      <c r="B64" s="11" t="s">
        <v>104</v>
      </c>
      <c r="C64" s="11"/>
      <c r="D64" s="14" t="n">
        <f aca="false">COUNTIFS('Stakeholder Register'!$D$5:$D$54,"Client")</f>
        <v>14</v>
      </c>
      <c r="E64" s="14" t="n">
        <f aca="false">COUNTIFS('Stakeholder Register'!$D$5:$D$54,"Client",'Stakeholder Register'!$G$5:$G$54,"Manage closely")</f>
        <v>5</v>
      </c>
      <c r="F64" s="14" t="n">
        <f aca="false">COUNTIFS('Stakeholder Register'!$D$5:$D$54,"Client",'Stakeholder Register'!$J$5:$J$54,"&gt;0")</f>
        <v>12</v>
      </c>
      <c r="G64" s="14" t="n">
        <f aca="false">COUNTIFS('Stakeholder Register'!$D$5:$D$54,"Client",'Stakeholder Register'!$H$5:$H$54,"Resistant")+COUNTIFS('Stakeholder Register'!$D$5:$D$54,"Client",'Stakeholder Register'!$H$5:$H$54,"Unaware")</f>
        <v>2</v>
      </c>
      <c r="H64" s="14" t="n">
        <f aca="false">COUNTIFS('Stakeholder Register'!$D$5:$D$54,"Client",'Stakeholder Register'!$U$5:$U$54,"Overdue")</f>
        <v>0</v>
      </c>
    </row>
    <row r="65" customFormat="false" ht="15" hidden="false" customHeight="true" outlineLevel="0" collapsed="false">
      <c r="B65" s="11" t="s">
        <v>105</v>
      </c>
      <c r="C65" s="11"/>
      <c r="D65" s="14" t="n">
        <f aca="false">COUNTIFS('Stakeholder Register'!$D$5:$D$54,"Vendor")</f>
        <v>2</v>
      </c>
      <c r="E65" s="14" t="n">
        <f aca="false">COUNTIFS('Stakeholder Register'!$D$5:$D$54,"Vendor",'Stakeholder Register'!$G$5:$G$54,"Manage closely")</f>
        <v>0</v>
      </c>
      <c r="F65" s="14" t="n">
        <f aca="false">COUNTIFS('Stakeholder Register'!$D$5:$D$54,"Vendor",'Stakeholder Register'!$J$5:$J$54,"&gt;0")</f>
        <v>1</v>
      </c>
      <c r="G65" s="14" t="n">
        <f aca="false">COUNTIFS('Stakeholder Register'!$D$5:$D$54,"Vendor",'Stakeholder Register'!$H$5:$H$54,"Resistant")+COUNTIFS('Stakeholder Register'!$D$5:$D$54,"Vendor",'Stakeholder Register'!$H$5:$H$54,"Unaware")</f>
        <v>0</v>
      </c>
      <c r="H65" s="14" t="n">
        <f aca="false">COUNTIFS('Stakeholder Register'!$D$5:$D$54,"Vendor",'Stakeholder Register'!$U$5:$U$54,"Overdue")</f>
        <v>1</v>
      </c>
    </row>
    <row r="66" customFormat="false" ht="15" hidden="false" customHeight="true" outlineLevel="0" collapsed="false">
      <c r="B66" s="11" t="s">
        <v>106</v>
      </c>
      <c r="C66" s="11"/>
      <c r="D66" s="14" t="n">
        <f aca="false">COUNTIFS('Stakeholder Register'!$D$5:$D$54,"External")</f>
        <v>1</v>
      </c>
      <c r="E66" s="14" t="n">
        <f aca="false">COUNTIFS('Stakeholder Register'!$D$5:$D$54,"External",'Stakeholder Register'!$G$5:$G$54,"Manage closely")</f>
        <v>0</v>
      </c>
      <c r="F66" s="14" t="n">
        <f aca="false">COUNTIFS('Stakeholder Register'!$D$5:$D$54,"External",'Stakeholder Register'!$J$5:$J$54,"&gt;0")</f>
        <v>1</v>
      </c>
      <c r="G66" s="14" t="n">
        <f aca="false">COUNTIFS('Stakeholder Register'!$D$5:$D$54,"External",'Stakeholder Register'!$H$5:$H$54,"Resistant")+COUNTIFS('Stakeholder Register'!$D$5:$D$54,"External",'Stakeholder Register'!$H$5:$H$54,"Unaware")</f>
        <v>1</v>
      </c>
      <c r="H66" s="14" t="n">
        <f aca="false">COUNTIFS('Stakeholder Register'!$D$5:$D$54,"External",'Stakeholder Register'!$U$5:$U$54,"Overdue")</f>
        <v>0</v>
      </c>
    </row>
    <row r="67" customFormat="false" ht="15" hidden="false" customHeight="true" outlineLevel="0" collapsed="false">
      <c r="B67" s="11" t="s">
        <v>107</v>
      </c>
      <c r="C67" s="11"/>
      <c r="D67" s="14" t="n">
        <f aca="false">COUNTIFS('Stakeholder Register'!$D$5:$D$54,"Delivery partner")</f>
        <v>1</v>
      </c>
      <c r="E67" s="14" t="n">
        <f aca="false">COUNTIFS('Stakeholder Register'!$D$5:$D$54,"Delivery partner",'Stakeholder Register'!$G$5:$G$54,"Manage closely")</f>
        <v>0</v>
      </c>
      <c r="F67" s="14" t="n">
        <f aca="false">COUNTIFS('Stakeholder Register'!$D$5:$D$54,"Delivery partner",'Stakeholder Register'!$J$5:$J$54,"&gt;0")</f>
        <v>0</v>
      </c>
      <c r="G67" s="14" t="n">
        <f aca="false">COUNTIFS('Stakeholder Register'!$D$5:$D$54,"Delivery partner",'Stakeholder Register'!$H$5:$H$54,"Resistant")+COUNTIFS('Stakeholder Register'!$D$5:$D$54,"Delivery partner",'Stakeholder Register'!$H$5:$H$54,"Unaware")</f>
        <v>0</v>
      </c>
      <c r="H67" s="14" t="n">
        <f aca="false">COUNTIFS('Stakeholder Register'!$D$5:$D$54,"Delivery partner",'Stakeholder Register'!$U$5:$U$54,"Overdue")</f>
        <v>0</v>
      </c>
    </row>
  </sheetData>
  <mergeCells count="77">
    <mergeCell ref="C10:E10"/>
    <mergeCell ref="F10:H10"/>
    <mergeCell ref="C11:E11"/>
    <mergeCell ref="F11:H11"/>
    <mergeCell ref="C12:E12"/>
    <mergeCell ref="F12:H12"/>
    <mergeCell ref="C13:E13"/>
    <mergeCell ref="F13:H13"/>
    <mergeCell ref="C14:E14"/>
    <mergeCell ref="F14:H14"/>
    <mergeCell ref="C15:E15"/>
    <mergeCell ref="F15:H15"/>
    <mergeCell ref="C16:E16"/>
    <mergeCell ref="F16:H16"/>
    <mergeCell ref="C17:E17"/>
    <mergeCell ref="F17:H17"/>
    <mergeCell ref="C18:E18"/>
    <mergeCell ref="F18:H18"/>
    <mergeCell ref="C20:E20"/>
    <mergeCell ref="F20:H20"/>
    <mergeCell ref="C21:E21"/>
    <mergeCell ref="F21:H21"/>
    <mergeCell ref="C22:E22"/>
    <mergeCell ref="F22:H22"/>
    <mergeCell ref="C23:E23"/>
    <mergeCell ref="F23:H23"/>
    <mergeCell ref="C24:E24"/>
    <mergeCell ref="F24:H24"/>
    <mergeCell ref="C25:E25"/>
    <mergeCell ref="F25:H25"/>
    <mergeCell ref="C26:E26"/>
    <mergeCell ref="F26:H26"/>
    <mergeCell ref="C27:E27"/>
    <mergeCell ref="F27:H27"/>
    <mergeCell ref="C28:E28"/>
    <mergeCell ref="F28:H28"/>
    <mergeCell ref="G32:H32"/>
    <mergeCell ref="G33:H33"/>
    <mergeCell ref="G34:H34"/>
    <mergeCell ref="G35:H35"/>
    <mergeCell ref="G36:H36"/>
    <mergeCell ref="G37:H37"/>
    <mergeCell ref="G38:H38"/>
    <mergeCell ref="C41:D41"/>
    <mergeCell ref="F41:H41"/>
    <mergeCell ref="C42:D42"/>
    <mergeCell ref="F42:H42"/>
    <mergeCell ref="C43:D43"/>
    <mergeCell ref="F43:H43"/>
    <mergeCell ref="C44:D44"/>
    <mergeCell ref="F44:H44"/>
    <mergeCell ref="C45:D45"/>
    <mergeCell ref="F45:H45"/>
    <mergeCell ref="C46:D46"/>
    <mergeCell ref="F46:H46"/>
    <mergeCell ref="C47:D47"/>
    <mergeCell ref="F47:H47"/>
    <mergeCell ref="C48:D48"/>
    <mergeCell ref="F48:H48"/>
    <mergeCell ref="C49:D49"/>
    <mergeCell ref="F49:H49"/>
    <mergeCell ref="C50:D50"/>
    <mergeCell ref="F50:H50"/>
    <mergeCell ref="C51:D51"/>
    <mergeCell ref="F51:H51"/>
    <mergeCell ref="C54:D54"/>
    <mergeCell ref="C55:D55"/>
    <mergeCell ref="C56:D56"/>
    <mergeCell ref="C57:D57"/>
    <mergeCell ref="C58:D58"/>
    <mergeCell ref="C59:D59"/>
    <mergeCell ref="C60:D60"/>
    <mergeCell ref="B63:C63"/>
    <mergeCell ref="B64:C64"/>
    <mergeCell ref="B65:C65"/>
    <mergeCell ref="B66:C66"/>
    <mergeCell ref="B67:C67"/>
  </mergeCells>
  <conditionalFormatting sqref="D33:D38">
    <cfRule type="cellIs" priority="2" operator="equal" aboveAverage="0" equalAverage="0" bottom="0" percent="0" rank="0" text="" dxfId="0">
      <formula>"Resistant"</formula>
    </cfRule>
    <cfRule type="cellIs" priority="3" operator="equal" aboveAverage="0" equalAverage="0" bottom="0" percent="0" rank="0" text="" dxfId="1">
      <formula>"Unaware"</formula>
    </cfRule>
    <cfRule type="cellIs" priority="4" operator="equal" aboveAverage="0" equalAverage="0" bottom="0" percent="0" rank="0" text="" dxfId="2">
      <formula>"Neutral"</formula>
    </cfRule>
  </conditionalFormatting>
  <conditionalFormatting sqref="F33:F38">
    <cfRule type="cellIs" priority="5" operator="greaterThanOrEqual" aboveAverage="0" equalAverage="0" bottom="0" percent="0" rank="0" text="" dxfId="0">
      <formula>2</formula>
    </cfRule>
  </conditionalFormatting>
  <conditionalFormatting sqref="H55:H60">
    <cfRule type="cellIs" priority="6" operator="equal" aboveAverage="0" equalAverage="0" bottom="0" percent="0" rank="0" text="" dxfId="1">
      <formula>"In Review"</formula>
    </cfRule>
  </conditionalFormatting>
  <conditionalFormatting sqref="I55:I60">
    <cfRule type="cellIs" priority="7" operator="equal" aboveAverage="0" equalAverage="0" bottom="0" percent="0" rank="0" text="" dxfId="0">
      <formula>"Overdue"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22"/>
  </cols>
  <sheetData>
    <row r="1" customFormat="false" ht="19.7" hidden="false" customHeight="false" outlineLevel="0" collapsed="false">
      <c r="A1" s="31" t="s">
        <v>108</v>
      </c>
    </row>
    <row r="2" customFormat="false" ht="15" hidden="false" customHeight="false" outlineLevel="0" collapsed="false">
      <c r="A2" s="17" t="s">
        <v>109</v>
      </c>
    </row>
    <row r="4" customFormat="false" ht="19.5" hidden="false" customHeight="true" outlineLevel="0" collapsed="false">
      <c r="A4" s="7" t="s">
        <v>110</v>
      </c>
      <c r="B4" s="8"/>
      <c r="C4" s="8"/>
      <c r="D4" s="8"/>
      <c r="E4" s="8"/>
      <c r="F4" s="8"/>
    </row>
    <row r="5" customFormat="false" ht="15" hidden="false" customHeight="true" outlineLevel="0" collapsed="false">
      <c r="A5" s="10" t="s">
        <v>111</v>
      </c>
      <c r="B5" s="10" t="s">
        <v>66</v>
      </c>
      <c r="C5" s="10"/>
      <c r="D5" s="10"/>
      <c r="E5" s="10"/>
      <c r="F5" s="10"/>
    </row>
    <row r="6" customFormat="false" ht="18" hidden="false" customHeight="true" outlineLevel="0" collapsed="false">
      <c r="A6" s="11" t="s">
        <v>112</v>
      </c>
      <c r="B6" s="12" t="s">
        <v>113</v>
      </c>
      <c r="C6" s="12"/>
      <c r="D6" s="12"/>
      <c r="E6" s="12"/>
      <c r="F6" s="12"/>
    </row>
    <row r="7" customFormat="false" ht="31.5" hidden="false" customHeight="true" outlineLevel="0" collapsed="false">
      <c r="A7" s="11" t="s">
        <v>114</v>
      </c>
      <c r="B7" s="12" t="s">
        <v>115</v>
      </c>
      <c r="C7" s="12"/>
      <c r="D7" s="12"/>
      <c r="E7" s="12"/>
      <c r="F7" s="12"/>
    </row>
    <row r="8" customFormat="false" ht="31.5" hidden="false" customHeight="true" outlineLevel="0" collapsed="false">
      <c r="A8" s="11" t="s">
        <v>116</v>
      </c>
      <c r="B8" s="12" t="s">
        <v>117</v>
      </c>
      <c r="C8" s="12"/>
      <c r="D8" s="12"/>
      <c r="E8" s="12"/>
      <c r="F8" s="12"/>
    </row>
    <row r="9" customFormat="false" ht="31.5" hidden="false" customHeight="true" outlineLevel="0" collapsed="false">
      <c r="A9" s="11" t="s">
        <v>118</v>
      </c>
      <c r="B9" s="12" t="s">
        <v>119</v>
      </c>
      <c r="C9" s="12"/>
      <c r="D9" s="12"/>
      <c r="E9" s="12"/>
      <c r="F9" s="12"/>
    </row>
    <row r="10" customFormat="false" ht="31.5" hidden="false" customHeight="true" outlineLevel="0" collapsed="false">
      <c r="A10" s="11" t="s">
        <v>120</v>
      </c>
      <c r="B10" s="12" t="s">
        <v>121</v>
      </c>
      <c r="C10" s="12"/>
      <c r="D10" s="12"/>
      <c r="E10" s="12"/>
      <c r="F10" s="12"/>
    </row>
    <row r="11" customFormat="false" ht="31.5" hidden="false" customHeight="true" outlineLevel="0" collapsed="false">
      <c r="A11" s="11" t="s">
        <v>122</v>
      </c>
      <c r="B11" s="12" t="s">
        <v>123</v>
      </c>
      <c r="C11" s="12"/>
      <c r="D11" s="12"/>
      <c r="E11" s="12"/>
      <c r="F11" s="12"/>
    </row>
    <row r="12" customFormat="false" ht="31.5" hidden="false" customHeight="true" outlineLevel="0" collapsed="false">
      <c r="A12" s="11" t="s">
        <v>124</v>
      </c>
      <c r="B12" s="12" t="s">
        <v>125</v>
      </c>
      <c r="C12" s="12"/>
      <c r="D12" s="12"/>
      <c r="E12" s="12"/>
      <c r="F12" s="12"/>
    </row>
    <row r="13" customFormat="false" ht="31.5" hidden="false" customHeight="true" outlineLevel="0" collapsed="false">
      <c r="A13" s="11" t="s">
        <v>126</v>
      </c>
      <c r="B13" s="12" t="s">
        <v>127</v>
      </c>
      <c r="C13" s="12"/>
      <c r="D13" s="12"/>
      <c r="E13" s="12"/>
      <c r="F13" s="12"/>
    </row>
    <row r="15" customFormat="false" ht="19.5" hidden="false" customHeight="true" outlineLevel="0" collapsed="false">
      <c r="A15" s="7" t="s">
        <v>128</v>
      </c>
      <c r="B15" s="8"/>
      <c r="C15" s="8"/>
      <c r="D15" s="8"/>
      <c r="E15" s="8"/>
      <c r="F15" s="8"/>
    </row>
    <row r="16" customFormat="false" ht="15" hidden="false" customHeight="true" outlineLevel="0" collapsed="false">
      <c r="A16" s="10" t="s">
        <v>129</v>
      </c>
      <c r="B16" s="10" t="s">
        <v>130</v>
      </c>
      <c r="C16" s="10" t="s">
        <v>131</v>
      </c>
      <c r="D16" s="10"/>
      <c r="E16" s="10" t="s">
        <v>132</v>
      </c>
      <c r="F16" s="10"/>
    </row>
    <row r="17" customFormat="false" ht="31.5" hidden="false" customHeight="true" outlineLevel="0" collapsed="false">
      <c r="A17" s="11" t="s">
        <v>133</v>
      </c>
      <c r="B17" s="14" t="s">
        <v>134</v>
      </c>
      <c r="C17" s="12" t="s">
        <v>135</v>
      </c>
      <c r="D17" s="12"/>
      <c r="E17" s="12" t="s">
        <v>136</v>
      </c>
      <c r="F17" s="12"/>
    </row>
    <row r="18" customFormat="false" ht="31.5" hidden="false" customHeight="true" outlineLevel="0" collapsed="false">
      <c r="A18" s="11" t="s">
        <v>137</v>
      </c>
      <c r="B18" s="14" t="s">
        <v>138</v>
      </c>
      <c r="C18" s="12" t="s">
        <v>139</v>
      </c>
      <c r="D18" s="12"/>
      <c r="E18" s="12" t="s">
        <v>140</v>
      </c>
      <c r="F18" s="12"/>
    </row>
    <row r="19" customFormat="false" ht="31.5" hidden="false" customHeight="true" outlineLevel="0" collapsed="false">
      <c r="A19" s="11" t="s">
        <v>141</v>
      </c>
      <c r="B19" s="14" t="s">
        <v>142</v>
      </c>
      <c r="C19" s="12" t="s">
        <v>143</v>
      </c>
      <c r="D19" s="12"/>
      <c r="E19" s="12" t="s">
        <v>144</v>
      </c>
      <c r="F19" s="12"/>
    </row>
    <row r="20" customFormat="false" ht="31.5" hidden="false" customHeight="true" outlineLevel="0" collapsed="false">
      <c r="A20" s="11" t="s">
        <v>145</v>
      </c>
      <c r="B20" s="14" t="s">
        <v>146</v>
      </c>
      <c r="C20" s="12" t="s">
        <v>147</v>
      </c>
      <c r="D20" s="12"/>
      <c r="E20" s="12" t="s">
        <v>148</v>
      </c>
      <c r="F20" s="12"/>
    </row>
    <row r="21" customFormat="false" ht="31.5" hidden="false" customHeight="true" outlineLevel="0" collapsed="false">
      <c r="A21" s="11" t="s">
        <v>149</v>
      </c>
      <c r="B21" s="14" t="s">
        <v>150</v>
      </c>
      <c r="C21" s="12" t="s">
        <v>151</v>
      </c>
      <c r="D21" s="12"/>
      <c r="E21" s="12" t="s">
        <v>152</v>
      </c>
      <c r="F21" s="12"/>
    </row>
    <row r="23" customFormat="false" ht="19.5" hidden="false" customHeight="true" outlineLevel="0" collapsed="false">
      <c r="A23" s="7" t="s">
        <v>153</v>
      </c>
      <c r="B23" s="8"/>
      <c r="C23" s="8"/>
      <c r="D23" s="8"/>
      <c r="E23" s="8"/>
      <c r="F23" s="8"/>
    </row>
    <row r="24" customFormat="false" ht="15" hidden="false" customHeight="true" outlineLevel="0" collapsed="false">
      <c r="A24" s="10" t="s">
        <v>154</v>
      </c>
      <c r="B24" s="10" t="s">
        <v>155</v>
      </c>
      <c r="C24" s="10" t="s">
        <v>156</v>
      </c>
      <c r="D24" s="10"/>
      <c r="E24" s="10"/>
      <c r="F24" s="10" t="s">
        <v>157</v>
      </c>
    </row>
    <row r="25" customFormat="false" ht="30" hidden="false" customHeight="true" outlineLevel="0" collapsed="false">
      <c r="A25" s="11" t="s">
        <v>158</v>
      </c>
      <c r="B25" s="14" t="s">
        <v>104</v>
      </c>
      <c r="C25" s="12" t="s">
        <v>159</v>
      </c>
      <c r="D25" s="12"/>
      <c r="E25" s="12"/>
      <c r="F25" s="14" t="s">
        <v>160</v>
      </c>
    </row>
    <row r="26" customFormat="false" ht="30" hidden="false" customHeight="true" outlineLevel="0" collapsed="false">
      <c r="A26" s="11" t="s">
        <v>161</v>
      </c>
      <c r="B26" s="14" t="s">
        <v>107</v>
      </c>
      <c r="C26" s="12" t="s">
        <v>162</v>
      </c>
      <c r="D26" s="12"/>
      <c r="E26" s="12"/>
      <c r="F26" s="14" t="s">
        <v>163</v>
      </c>
    </row>
    <row r="27" customFormat="false" ht="30" hidden="false" customHeight="true" outlineLevel="0" collapsed="false">
      <c r="A27" s="11" t="s">
        <v>164</v>
      </c>
      <c r="B27" s="14" t="s">
        <v>107</v>
      </c>
      <c r="C27" s="12" t="s">
        <v>165</v>
      </c>
      <c r="D27" s="12"/>
      <c r="E27" s="12"/>
      <c r="F27" s="14" t="s">
        <v>166</v>
      </c>
    </row>
    <row r="28" customFormat="false" ht="30" hidden="false" customHeight="true" outlineLevel="0" collapsed="false">
      <c r="A28" s="11" t="s">
        <v>167</v>
      </c>
      <c r="B28" s="14" t="s">
        <v>107</v>
      </c>
      <c r="C28" s="12" t="s">
        <v>168</v>
      </c>
      <c r="D28" s="12"/>
      <c r="E28" s="12"/>
      <c r="F28" s="14" t="s">
        <v>163</v>
      </c>
    </row>
    <row r="29" customFormat="false" ht="30" hidden="false" customHeight="true" outlineLevel="0" collapsed="false">
      <c r="A29" s="11" t="s">
        <v>169</v>
      </c>
      <c r="B29" s="14" t="s">
        <v>107</v>
      </c>
      <c r="C29" s="12" t="s">
        <v>170</v>
      </c>
      <c r="D29" s="12"/>
      <c r="E29" s="12"/>
      <c r="F29" s="14" t="s">
        <v>166</v>
      </c>
    </row>
    <row r="30" customFormat="false" ht="30" hidden="false" customHeight="true" outlineLevel="0" collapsed="false">
      <c r="A30" s="11" t="s">
        <v>171</v>
      </c>
      <c r="B30" s="14" t="s">
        <v>107</v>
      </c>
      <c r="C30" s="12" t="s">
        <v>172</v>
      </c>
      <c r="D30" s="12"/>
      <c r="E30" s="12"/>
      <c r="F30" s="14" t="s">
        <v>166</v>
      </c>
    </row>
    <row r="31" customFormat="false" ht="30" hidden="false" customHeight="true" outlineLevel="0" collapsed="false">
      <c r="A31" s="11" t="s">
        <v>173</v>
      </c>
      <c r="B31" s="14" t="s">
        <v>107</v>
      </c>
      <c r="C31" s="12" t="s">
        <v>174</v>
      </c>
      <c r="D31" s="12"/>
      <c r="E31" s="12"/>
      <c r="F31" s="14" t="s">
        <v>166</v>
      </c>
    </row>
    <row r="32" customFormat="false" ht="30" hidden="false" customHeight="true" outlineLevel="0" collapsed="false">
      <c r="A32" s="11" t="s">
        <v>175</v>
      </c>
      <c r="B32" s="14" t="s">
        <v>107</v>
      </c>
      <c r="C32" s="12" t="s">
        <v>176</v>
      </c>
      <c r="D32" s="12"/>
      <c r="E32" s="12"/>
      <c r="F32" s="14" t="s">
        <v>166</v>
      </c>
    </row>
    <row r="33" customFormat="false" ht="30" hidden="false" customHeight="true" outlineLevel="0" collapsed="false">
      <c r="A33" s="11" t="s">
        <v>177</v>
      </c>
      <c r="B33" s="14" t="s">
        <v>107</v>
      </c>
      <c r="C33" s="12" t="s">
        <v>178</v>
      </c>
      <c r="D33" s="12"/>
      <c r="E33" s="12"/>
      <c r="F33" s="14" t="s">
        <v>163</v>
      </c>
    </row>
    <row r="34" customFormat="false" ht="30" hidden="false" customHeight="true" outlineLevel="0" collapsed="false">
      <c r="A34" s="11" t="s">
        <v>179</v>
      </c>
      <c r="B34" s="14" t="s">
        <v>104</v>
      </c>
      <c r="C34" s="12" t="s">
        <v>180</v>
      </c>
      <c r="D34" s="12"/>
      <c r="E34" s="12"/>
      <c r="F34" s="14" t="s">
        <v>181</v>
      </c>
    </row>
  </sheetData>
  <mergeCells count="32">
    <mergeCell ref="B5:F5"/>
    <mergeCell ref="B6:F6"/>
    <mergeCell ref="B7:F7"/>
    <mergeCell ref="B8:F8"/>
    <mergeCell ref="B9:F9"/>
    <mergeCell ref="B10:F10"/>
    <mergeCell ref="B11:F11"/>
    <mergeCell ref="B12:F12"/>
    <mergeCell ref="B13:F13"/>
    <mergeCell ref="C16:D16"/>
    <mergeCell ref="E16:F16"/>
    <mergeCell ref="C17:D17"/>
    <mergeCell ref="E17:F17"/>
    <mergeCell ref="C18:D18"/>
    <mergeCell ref="E18:F18"/>
    <mergeCell ref="C19:D19"/>
    <mergeCell ref="E19:F19"/>
    <mergeCell ref="C20:D20"/>
    <mergeCell ref="E20:F20"/>
    <mergeCell ref="C21:D21"/>
    <mergeCell ref="E21:F21"/>
    <mergeCell ref="C24:E24"/>
    <mergeCell ref="C25:E25"/>
    <mergeCell ref="C26:E26"/>
    <mergeCell ref="C27:E27"/>
    <mergeCell ref="C28:E28"/>
    <mergeCell ref="C29:E29"/>
    <mergeCell ref="C30:E30"/>
    <mergeCell ref="C31:E31"/>
    <mergeCell ref="C32:E32"/>
    <mergeCell ref="C33:E33"/>
    <mergeCell ref="C34:E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8"/>
    <col collapsed="false" customWidth="true" hidden="false" outlineLevel="0" max="4" min="4" style="0" width="11"/>
    <col collapsed="false" customWidth="true" hidden="false" outlineLevel="0" max="6" min="5" style="0" width="9"/>
    <col collapsed="false" customWidth="true" hidden="false" outlineLevel="0" max="7" min="7" style="0" width="14"/>
    <col collapsed="false" customWidth="true" hidden="false" outlineLevel="0" max="9" min="8" style="0" width="12"/>
    <col collapsed="false" customWidth="true" hidden="false" outlineLevel="0" max="10" min="10" style="0" width="6"/>
    <col collapsed="false" customWidth="true" hidden="false" outlineLevel="0" max="11" min="11" style="0" width="8"/>
    <col collapsed="false" customWidth="true" hidden="false" outlineLevel="0" max="12" min="12" style="0" width="34"/>
    <col collapsed="false" customWidth="true" hidden="false" outlineLevel="0" max="13" min="13" style="0" width="40"/>
    <col collapsed="false" customWidth="true" hidden="false" outlineLevel="0" max="14" min="14" style="0" width="16"/>
    <col collapsed="false" customWidth="true" hidden="false" outlineLevel="0" max="15" min="15" style="0" width="12"/>
    <col collapsed="false" customWidth="true" hidden="false" outlineLevel="0" max="16" min="16" style="0" width="14"/>
    <col collapsed="false" customWidth="true" hidden="false" outlineLevel="0" max="17" min="17" style="0" width="16"/>
    <col collapsed="false" customWidth="true" hidden="false" outlineLevel="0" max="18" min="18" style="0" width="12"/>
    <col collapsed="false" customWidth="true" hidden="false" outlineLevel="0" max="19" min="19" style="0" width="30"/>
    <col collapsed="false" customWidth="true" hidden="false" outlineLevel="0" max="20" min="20" style="0" width="12"/>
    <col collapsed="false" customWidth="true" hidden="false" outlineLevel="0" max="21" min="21" style="0" width="9"/>
    <col collapsed="false" customWidth="true" hidden="true" outlineLevel="0" max="26" min="22" style="0" width="5"/>
  </cols>
  <sheetData>
    <row r="1" customFormat="false" ht="19.7" hidden="false" customHeight="false" outlineLevel="0" collapsed="false">
      <c r="A1" s="31" t="s">
        <v>182</v>
      </c>
    </row>
    <row r="2" customFormat="false" ht="15" hidden="false" customHeight="false" outlineLevel="0" collapsed="false">
      <c r="A2" s="17" t="s">
        <v>183</v>
      </c>
    </row>
    <row r="3" customFormat="false" ht="15" hidden="false" customHeight="false" outlineLevel="0" collapsed="false">
      <c r="A3" s="32" t="s">
        <v>184</v>
      </c>
      <c r="E3" s="33" t="n">
        <v>4</v>
      </c>
      <c r="G3" s="13" t="s">
        <v>185</v>
      </c>
    </row>
    <row r="4" customFormat="false" ht="39.75" hidden="false" customHeight="true" outlineLevel="0" collapsed="false">
      <c r="A4" s="34" t="s">
        <v>82</v>
      </c>
      <c r="B4" s="34" t="s">
        <v>83</v>
      </c>
      <c r="C4" s="34" t="s">
        <v>186</v>
      </c>
      <c r="D4" s="34" t="s">
        <v>101</v>
      </c>
      <c r="E4" s="34" t="s">
        <v>187</v>
      </c>
      <c r="F4" s="34" t="s">
        <v>188</v>
      </c>
      <c r="G4" s="35" t="s">
        <v>29</v>
      </c>
      <c r="H4" s="34" t="s">
        <v>189</v>
      </c>
      <c r="I4" s="34" t="s">
        <v>190</v>
      </c>
      <c r="J4" s="35" t="s">
        <v>86</v>
      </c>
      <c r="K4" s="35" t="s">
        <v>191</v>
      </c>
      <c r="L4" s="34" t="s">
        <v>192</v>
      </c>
      <c r="M4" s="34" t="s">
        <v>193</v>
      </c>
      <c r="N4" s="34" t="s">
        <v>194</v>
      </c>
      <c r="O4" s="34" t="s">
        <v>195</v>
      </c>
      <c r="P4" s="34" t="s">
        <v>196</v>
      </c>
      <c r="Q4" s="34" t="s">
        <v>197</v>
      </c>
      <c r="R4" s="34" t="s">
        <v>198</v>
      </c>
      <c r="S4" s="34" t="s">
        <v>87</v>
      </c>
      <c r="T4" s="34" t="s">
        <v>199</v>
      </c>
      <c r="U4" s="35" t="s">
        <v>200</v>
      </c>
      <c r="V4" s="35" t="s">
        <v>201</v>
      </c>
      <c r="W4" s="35" t="s">
        <v>202</v>
      </c>
      <c r="X4" s="35" t="s">
        <v>203</v>
      </c>
      <c r="Y4" s="35" t="s">
        <v>204</v>
      </c>
      <c r="Z4" s="35" t="s">
        <v>205</v>
      </c>
    </row>
    <row r="5" customFormat="false" ht="45" hidden="false" customHeight="true" outlineLevel="0" collapsed="false">
      <c r="A5" s="14" t="s">
        <v>206</v>
      </c>
      <c r="B5" s="11" t="s">
        <v>207</v>
      </c>
      <c r="C5" s="12" t="s">
        <v>208</v>
      </c>
      <c r="D5" s="14" t="s">
        <v>104</v>
      </c>
      <c r="E5" s="14" t="n">
        <v>5</v>
      </c>
      <c r="F5" s="14" t="n">
        <v>4</v>
      </c>
      <c r="G5" s="36" t="str">
        <f aca="false">IF(A5="","",IF(AND(E5&gt;=$E$3,F5&gt;=$E$3),"Manage closely",IF(E5&gt;=$E$3,"Keep satisfied",IF(F5&gt;=$E$3,"Keep informed","Monitor"))))</f>
        <v>Manage closely</v>
      </c>
      <c r="H5" s="14" t="s">
        <v>209</v>
      </c>
      <c r="I5" s="14" t="s">
        <v>210</v>
      </c>
      <c r="J5" s="37" t="n">
        <f aca="false">IF(OR(A5="",H5="",I5=""),"",IF(I5="Unaware",1,IF(I5="Resistant",2,IF(I5="Neutral",3,IF(I5="Supportive",4,IF(I5="Leading",5,0)))))-IF(H5="Unaware",1,IF(H5="Resistant",2,IF(H5="Neutral",3,IF(H5="Supportive",4,IF(H5="Leading",5,0))))))</f>
        <v>1</v>
      </c>
      <c r="K5" s="37" t="n">
        <f aca="false">IF(J5="","",J5*E5)</f>
        <v>5</v>
      </c>
      <c r="L5" s="12" t="s">
        <v>211</v>
      </c>
      <c r="M5" s="12" t="s">
        <v>212</v>
      </c>
      <c r="N5" s="12" t="s">
        <v>161</v>
      </c>
      <c r="O5" s="14" t="s">
        <v>213</v>
      </c>
      <c r="P5" s="12" t="s">
        <v>214</v>
      </c>
      <c r="Q5" s="12" t="s">
        <v>215</v>
      </c>
      <c r="R5" s="15" t="n">
        <v>46272</v>
      </c>
      <c r="S5" s="12" t="s">
        <v>216</v>
      </c>
      <c r="T5" s="15" t="n">
        <v>46279</v>
      </c>
      <c r="U5" s="36" t="str">
        <f aca="false">IF(OR(A5="",T5=""),"",IF(T5&lt;Cover!$C$7,"Overdue","No"))</f>
        <v>No</v>
      </c>
      <c r="V5" s="38" t="n">
        <f aca="false">IF(G5="Manage closely",ROW(),"")</f>
        <v>5</v>
      </c>
      <c r="W5" s="38" t="str">
        <f aca="false">IF(G5="Keep satisfied",ROW(),"")</f>
        <v/>
      </c>
      <c r="X5" s="38" t="str">
        <f aca="false">IF(G5="Keep informed",ROW(),"")</f>
        <v/>
      </c>
      <c r="Y5" s="38" t="str">
        <f aca="false">IF(G5="Monitor",ROW(),"")</f>
        <v/>
      </c>
      <c r="Z5" s="38" t="n">
        <f aca="false">IF(OR(J5="",N(J5)&lt;=0),"",K5+(1000-ROW())/100000)</f>
        <v>5.00995</v>
      </c>
    </row>
    <row r="6" customFormat="false" ht="57.75" hidden="false" customHeight="true" outlineLevel="0" collapsed="false">
      <c r="A6" s="14" t="s">
        <v>217</v>
      </c>
      <c r="B6" s="11" t="s">
        <v>218</v>
      </c>
      <c r="C6" s="12" t="s">
        <v>219</v>
      </c>
      <c r="D6" s="14" t="s">
        <v>104</v>
      </c>
      <c r="E6" s="14" t="n">
        <v>5</v>
      </c>
      <c r="F6" s="14" t="n">
        <v>3</v>
      </c>
      <c r="G6" s="36" t="str">
        <f aca="false">IF(A6="","",IF(AND(E6&gt;=$E$3,F6&gt;=$E$3),"Manage closely",IF(E6&gt;=$E$3,"Keep satisfied",IF(F6&gt;=$E$3,"Keep informed","Monitor"))))</f>
        <v>Keep satisfied</v>
      </c>
      <c r="H6" s="14" t="s">
        <v>220</v>
      </c>
      <c r="I6" s="14" t="s">
        <v>209</v>
      </c>
      <c r="J6" s="37" t="n">
        <f aca="false">IF(OR(A6="",H6="",I6=""),"",IF(I6="Unaware",1,IF(I6="Resistant",2,IF(I6="Neutral",3,IF(I6="Supportive",4,IF(I6="Leading",5,0)))))-IF(H6="Unaware",1,IF(H6="Resistant",2,IF(H6="Neutral",3,IF(H6="Supportive",4,IF(H6="Leading",5,0))))))</f>
        <v>1</v>
      </c>
      <c r="K6" s="37" t="n">
        <f aca="false">IF(J6="","",J6*E6)</f>
        <v>5</v>
      </c>
      <c r="L6" s="12" t="s">
        <v>221</v>
      </c>
      <c r="M6" s="12" t="s">
        <v>222</v>
      </c>
      <c r="N6" s="12" t="s">
        <v>164</v>
      </c>
      <c r="O6" s="14" t="s">
        <v>223</v>
      </c>
      <c r="P6" s="12" t="s">
        <v>224</v>
      </c>
      <c r="Q6" s="12" t="s">
        <v>225</v>
      </c>
      <c r="R6" s="15" t="n">
        <v>46275</v>
      </c>
      <c r="S6" s="12" t="s">
        <v>226</v>
      </c>
      <c r="T6" s="15" t="n">
        <v>46287</v>
      </c>
      <c r="U6" s="36" t="str">
        <f aca="false">IF(OR(A6="",T6=""),"",IF(T6&lt;Cover!$C$7,"Overdue","No"))</f>
        <v>No</v>
      </c>
      <c r="V6" s="38" t="str">
        <f aca="false">IF(G6="Manage closely",ROW(),"")</f>
        <v/>
      </c>
      <c r="W6" s="38" t="n">
        <f aca="false">IF(G6="Keep satisfied",ROW(),"")</f>
        <v>6</v>
      </c>
      <c r="X6" s="38" t="str">
        <f aca="false">IF(G6="Keep informed",ROW(),"")</f>
        <v/>
      </c>
      <c r="Y6" s="38" t="str">
        <f aca="false">IF(G6="Monitor",ROW(),"")</f>
        <v/>
      </c>
      <c r="Z6" s="38" t="n">
        <f aca="false">IF(OR(J6="",N(J6)&lt;=0),"",K6+(1000-ROW())/100000)</f>
        <v>5.00994</v>
      </c>
    </row>
    <row r="7" customFormat="false" ht="45" hidden="false" customHeight="true" outlineLevel="0" collapsed="false">
      <c r="A7" s="14" t="s">
        <v>227</v>
      </c>
      <c r="B7" s="11" t="s">
        <v>228</v>
      </c>
      <c r="C7" s="12" t="s">
        <v>229</v>
      </c>
      <c r="D7" s="14" t="s">
        <v>104</v>
      </c>
      <c r="E7" s="14" t="n">
        <v>4</v>
      </c>
      <c r="F7" s="14" t="n">
        <v>5</v>
      </c>
      <c r="G7" s="36" t="str">
        <f aca="false">IF(A7="","",IF(AND(E7&gt;=$E$3,F7&gt;=$E$3),"Manage closely",IF(E7&gt;=$E$3,"Keep satisfied",IF(F7&gt;=$E$3,"Keep informed","Monitor"))))</f>
        <v>Manage closely</v>
      </c>
      <c r="H7" s="14" t="s">
        <v>209</v>
      </c>
      <c r="I7" s="14" t="s">
        <v>210</v>
      </c>
      <c r="J7" s="37" t="n">
        <f aca="false">IF(OR(A7="",H7="",I7=""),"",IF(I7="Unaware",1,IF(I7="Resistant",2,IF(I7="Neutral",3,IF(I7="Supportive",4,IF(I7="Leading",5,0)))))-IF(H7="Unaware",1,IF(H7="Resistant",2,IF(H7="Neutral",3,IF(H7="Supportive",4,IF(H7="Leading",5,0))))))</f>
        <v>1</v>
      </c>
      <c r="K7" s="37" t="n">
        <f aca="false">IF(J7="","",J7*E7)</f>
        <v>4</v>
      </c>
      <c r="L7" s="12" t="s">
        <v>230</v>
      </c>
      <c r="M7" s="12" t="s">
        <v>231</v>
      </c>
      <c r="N7" s="12" t="s">
        <v>164</v>
      </c>
      <c r="O7" s="14" t="s">
        <v>213</v>
      </c>
      <c r="P7" s="12" t="s">
        <v>232</v>
      </c>
      <c r="Q7" s="12" t="s">
        <v>233</v>
      </c>
      <c r="R7" s="15" t="n">
        <v>46274</v>
      </c>
      <c r="S7" s="12" t="s">
        <v>234</v>
      </c>
      <c r="T7" s="15" t="n">
        <v>46283</v>
      </c>
      <c r="U7" s="36" t="str">
        <f aca="false">IF(OR(A7="",T7=""),"",IF(T7&lt;Cover!$C$7,"Overdue","No"))</f>
        <v>No</v>
      </c>
      <c r="V7" s="38" t="n">
        <f aca="false">IF(G7="Manage closely",ROW(),"")</f>
        <v>7</v>
      </c>
      <c r="W7" s="38" t="str">
        <f aca="false">IF(G7="Keep satisfied",ROW(),"")</f>
        <v/>
      </c>
      <c r="X7" s="38" t="str">
        <f aca="false">IF(G7="Keep informed",ROW(),"")</f>
        <v/>
      </c>
      <c r="Y7" s="38" t="str">
        <f aca="false">IF(G7="Monitor",ROW(),"")</f>
        <v/>
      </c>
      <c r="Z7" s="38" t="n">
        <f aca="false">IF(OR(J7="",N(J7)&lt;=0),"",K7+(1000-ROW())/100000)</f>
        <v>4.00993</v>
      </c>
    </row>
    <row r="8" customFormat="false" ht="45" hidden="false" customHeight="true" outlineLevel="0" collapsed="false">
      <c r="A8" s="14" t="s">
        <v>235</v>
      </c>
      <c r="B8" s="11" t="s">
        <v>236</v>
      </c>
      <c r="C8" s="12" t="s">
        <v>237</v>
      </c>
      <c r="D8" s="14" t="s">
        <v>104</v>
      </c>
      <c r="E8" s="14" t="n">
        <v>4</v>
      </c>
      <c r="F8" s="14" t="n">
        <v>4</v>
      </c>
      <c r="G8" s="36" t="str">
        <f aca="false">IF(A8="","",IF(AND(E8&gt;=$E$3,F8&gt;=$E$3),"Manage closely",IF(E8&gt;=$E$3,"Keep satisfied",IF(F8&gt;=$E$3,"Keep informed","Monitor"))))</f>
        <v>Manage closely</v>
      </c>
      <c r="H8" s="14" t="s">
        <v>220</v>
      </c>
      <c r="I8" s="14" t="s">
        <v>209</v>
      </c>
      <c r="J8" s="37" t="n">
        <f aca="false">IF(OR(A8="",H8="",I8=""),"",IF(I8="Unaware",1,IF(I8="Resistant",2,IF(I8="Neutral",3,IF(I8="Supportive",4,IF(I8="Leading",5,0)))))-IF(H8="Unaware",1,IF(H8="Resistant",2,IF(H8="Neutral",3,IF(H8="Supportive",4,IF(H8="Leading",5,0))))))</f>
        <v>1</v>
      </c>
      <c r="K8" s="37" t="n">
        <f aca="false">IF(J8="","",J8*E8)</f>
        <v>4</v>
      </c>
      <c r="L8" s="12" t="s">
        <v>238</v>
      </c>
      <c r="M8" s="12" t="s">
        <v>239</v>
      </c>
      <c r="N8" s="12" t="s">
        <v>164</v>
      </c>
      <c r="O8" s="14" t="s">
        <v>213</v>
      </c>
      <c r="P8" s="12" t="s">
        <v>214</v>
      </c>
      <c r="Q8" s="12" t="s">
        <v>240</v>
      </c>
      <c r="R8" s="15" t="n">
        <v>46273</v>
      </c>
      <c r="S8" s="12" t="s">
        <v>241</v>
      </c>
      <c r="T8" s="15" t="n">
        <v>46280</v>
      </c>
      <c r="U8" s="36" t="str">
        <f aca="false">IF(OR(A8="",T8=""),"",IF(T8&lt;Cover!$C$7,"Overdue","No"))</f>
        <v>No</v>
      </c>
      <c r="V8" s="38" t="n">
        <f aca="false">IF(G8="Manage closely",ROW(),"")</f>
        <v>8</v>
      </c>
      <c r="W8" s="38" t="str">
        <f aca="false">IF(G8="Keep satisfied",ROW(),"")</f>
        <v/>
      </c>
      <c r="X8" s="38" t="str">
        <f aca="false">IF(G8="Keep informed",ROW(),"")</f>
        <v/>
      </c>
      <c r="Y8" s="38" t="str">
        <f aca="false">IF(G8="Monitor",ROW(),"")</f>
        <v/>
      </c>
      <c r="Z8" s="38" t="n">
        <f aca="false">IF(OR(J8="",N(J8)&lt;=0),"",K8+(1000-ROW())/100000)</f>
        <v>4.00992</v>
      </c>
    </row>
    <row r="9" customFormat="false" ht="57.75" hidden="false" customHeight="true" outlineLevel="0" collapsed="false">
      <c r="A9" s="14" t="s">
        <v>242</v>
      </c>
      <c r="B9" s="11" t="s">
        <v>243</v>
      </c>
      <c r="C9" s="12" t="s">
        <v>244</v>
      </c>
      <c r="D9" s="14" t="s">
        <v>104</v>
      </c>
      <c r="E9" s="14" t="n">
        <v>3</v>
      </c>
      <c r="F9" s="14" t="n">
        <v>4</v>
      </c>
      <c r="G9" s="36" t="str">
        <f aca="false">IF(A9="","",IF(AND(E9&gt;=$E$3,F9&gt;=$E$3),"Manage closely",IF(E9&gt;=$E$3,"Keep satisfied",IF(F9&gt;=$E$3,"Keep informed","Monitor"))))</f>
        <v>Keep informed</v>
      </c>
      <c r="H9" s="14" t="s">
        <v>245</v>
      </c>
      <c r="I9" s="14" t="s">
        <v>209</v>
      </c>
      <c r="J9" s="37" t="n">
        <f aca="false">IF(OR(A9="",H9="",I9=""),"",IF(I9="Unaware",1,IF(I9="Resistant",2,IF(I9="Neutral",3,IF(I9="Supportive",4,IF(I9="Leading",5,0)))))-IF(H9="Unaware",1,IF(H9="Resistant",2,IF(H9="Neutral",3,IF(H9="Supportive",4,IF(H9="Leading",5,0))))))</f>
        <v>2</v>
      </c>
      <c r="K9" s="37" t="n">
        <f aca="false">IF(J9="","",J9*E9)</f>
        <v>6</v>
      </c>
      <c r="L9" s="12" t="s">
        <v>246</v>
      </c>
      <c r="M9" s="12" t="s">
        <v>247</v>
      </c>
      <c r="N9" s="12" t="s">
        <v>164</v>
      </c>
      <c r="O9" s="14" t="s">
        <v>223</v>
      </c>
      <c r="P9" s="12" t="s">
        <v>232</v>
      </c>
      <c r="Q9" s="12" t="s">
        <v>248</v>
      </c>
      <c r="R9" s="15" t="n">
        <v>46268</v>
      </c>
      <c r="S9" s="12" t="s">
        <v>249</v>
      </c>
      <c r="T9" s="15" t="n">
        <v>46276</v>
      </c>
      <c r="U9" s="36" t="str">
        <f aca="false">IF(OR(A9="",T9=""),"",IF(T9&lt;Cover!$C$7,"Overdue","No"))</f>
        <v>No</v>
      </c>
      <c r="V9" s="38" t="str">
        <f aca="false">IF(G9="Manage closely",ROW(),"")</f>
        <v/>
      </c>
      <c r="W9" s="38" t="str">
        <f aca="false">IF(G9="Keep satisfied",ROW(),"")</f>
        <v/>
      </c>
      <c r="X9" s="38" t="n">
        <f aca="false">IF(G9="Keep informed",ROW(),"")</f>
        <v>9</v>
      </c>
      <c r="Y9" s="38" t="str">
        <f aca="false">IF(G9="Monitor",ROW(),"")</f>
        <v/>
      </c>
      <c r="Z9" s="38" t="n">
        <f aca="false">IF(OR(J9="",N(J9)&lt;=0),"",K9+(1000-ROW())/100000)</f>
        <v>6.00991</v>
      </c>
    </row>
    <row r="10" customFormat="false" ht="45" hidden="false" customHeight="true" outlineLevel="0" collapsed="false">
      <c r="A10" s="14" t="s">
        <v>250</v>
      </c>
      <c r="B10" s="11" t="s">
        <v>251</v>
      </c>
      <c r="C10" s="12" t="s">
        <v>252</v>
      </c>
      <c r="D10" s="14" t="s">
        <v>104</v>
      </c>
      <c r="E10" s="14" t="n">
        <v>5</v>
      </c>
      <c r="F10" s="14" t="n">
        <v>4</v>
      </c>
      <c r="G10" s="36" t="str">
        <f aca="false">IF(A10="","",IF(AND(E10&gt;=$E$3,F10&gt;=$E$3),"Manage closely",IF(E10&gt;=$E$3,"Keep satisfied",IF(F10&gt;=$E$3,"Keep informed","Monitor"))))</f>
        <v>Manage closely</v>
      </c>
      <c r="H10" s="14" t="s">
        <v>209</v>
      </c>
      <c r="I10" s="14" t="s">
        <v>209</v>
      </c>
      <c r="J10" s="37" t="n">
        <f aca="false">IF(OR(A10="",H10="",I10=""),"",IF(I10="Unaware",1,IF(I10="Resistant",2,IF(I10="Neutral",3,IF(I10="Supportive",4,IF(I10="Leading",5,0)))))-IF(H10="Unaware",1,IF(H10="Resistant",2,IF(H10="Neutral",3,IF(H10="Supportive",4,IF(H10="Leading",5,0))))))</f>
        <v>0</v>
      </c>
      <c r="K10" s="37" t="n">
        <f aca="false">IF(J10="","",J10*E10)</f>
        <v>0</v>
      </c>
      <c r="L10" s="12" t="s">
        <v>253</v>
      </c>
      <c r="M10" s="12" t="s">
        <v>254</v>
      </c>
      <c r="N10" s="12" t="s">
        <v>164</v>
      </c>
      <c r="O10" s="14" t="s">
        <v>223</v>
      </c>
      <c r="P10" s="12" t="s">
        <v>255</v>
      </c>
      <c r="Q10" s="12" t="s">
        <v>256</v>
      </c>
      <c r="R10" s="15" t="n">
        <v>46267</v>
      </c>
      <c r="S10" s="12" t="s">
        <v>257</v>
      </c>
      <c r="T10" s="15" t="n">
        <v>46281</v>
      </c>
      <c r="U10" s="36" t="str">
        <f aca="false">IF(OR(A10="",T10=""),"",IF(T10&lt;Cover!$C$7,"Overdue","No"))</f>
        <v>No</v>
      </c>
      <c r="V10" s="38" t="n">
        <f aca="false">IF(G10="Manage closely",ROW(),"")</f>
        <v>10</v>
      </c>
      <c r="W10" s="38" t="str">
        <f aca="false">IF(G10="Keep satisfied",ROW(),"")</f>
        <v/>
      </c>
      <c r="X10" s="38" t="str">
        <f aca="false">IF(G10="Keep informed",ROW(),"")</f>
        <v/>
      </c>
      <c r="Y10" s="38" t="str">
        <f aca="false">IF(G10="Monitor",ROW(),"")</f>
        <v/>
      </c>
      <c r="Z10" s="38" t="str">
        <f aca="false">IF(OR(J10="",N(J10)&lt;=0),"",K10+(1000-ROW())/100000)</f>
        <v/>
      </c>
    </row>
    <row r="11" customFormat="false" ht="45" hidden="false" customHeight="true" outlineLevel="0" collapsed="false">
      <c r="A11" s="14" t="s">
        <v>258</v>
      </c>
      <c r="B11" s="11" t="s">
        <v>259</v>
      </c>
      <c r="C11" s="12" t="s">
        <v>260</v>
      </c>
      <c r="D11" s="14" t="s">
        <v>104</v>
      </c>
      <c r="E11" s="14" t="n">
        <v>4</v>
      </c>
      <c r="F11" s="14" t="n">
        <v>3</v>
      </c>
      <c r="G11" s="36" t="str">
        <f aca="false">IF(A11="","",IF(AND(E11&gt;=$E$3,F11&gt;=$E$3),"Manage closely",IF(E11&gt;=$E$3,"Keep satisfied",IF(F11&gt;=$E$3,"Keep informed","Monitor"))))</f>
        <v>Keep satisfied</v>
      </c>
      <c r="H11" s="14" t="s">
        <v>220</v>
      </c>
      <c r="I11" s="14" t="s">
        <v>209</v>
      </c>
      <c r="J11" s="37" t="n">
        <f aca="false">IF(OR(A11="",H11="",I11=""),"",IF(I11="Unaware",1,IF(I11="Resistant",2,IF(I11="Neutral",3,IF(I11="Supportive",4,IF(I11="Leading",5,0)))))-IF(H11="Unaware",1,IF(H11="Resistant",2,IF(H11="Neutral",3,IF(H11="Supportive",4,IF(H11="Leading",5,0))))))</f>
        <v>1</v>
      </c>
      <c r="K11" s="37" t="n">
        <f aca="false">IF(J11="","",J11*E11)</f>
        <v>4</v>
      </c>
      <c r="L11" s="12" t="s">
        <v>261</v>
      </c>
      <c r="M11" s="12" t="s">
        <v>262</v>
      </c>
      <c r="N11" s="12" t="s">
        <v>167</v>
      </c>
      <c r="O11" s="14" t="s">
        <v>223</v>
      </c>
      <c r="P11" s="12" t="s">
        <v>255</v>
      </c>
      <c r="Q11" s="12" t="s">
        <v>263</v>
      </c>
      <c r="R11" s="15" t="n">
        <v>46269</v>
      </c>
      <c r="S11" s="12" t="s">
        <v>264</v>
      </c>
      <c r="T11" s="15" t="n">
        <v>46279</v>
      </c>
      <c r="U11" s="36" t="str">
        <f aca="false">IF(OR(A11="",T11=""),"",IF(T11&lt;Cover!$C$7,"Overdue","No"))</f>
        <v>No</v>
      </c>
      <c r="V11" s="38" t="str">
        <f aca="false">IF(G11="Manage closely",ROW(),"")</f>
        <v/>
      </c>
      <c r="W11" s="38" t="n">
        <f aca="false">IF(G11="Keep satisfied",ROW(),"")</f>
        <v>11</v>
      </c>
      <c r="X11" s="38" t="str">
        <f aca="false">IF(G11="Keep informed",ROW(),"")</f>
        <v/>
      </c>
      <c r="Y11" s="38" t="str">
        <f aca="false">IF(G11="Monitor",ROW(),"")</f>
        <v/>
      </c>
      <c r="Z11" s="38" t="n">
        <f aca="false">IF(OR(J11="",N(J11)&lt;=0),"",K11+(1000-ROW())/100000)</f>
        <v>4.00989</v>
      </c>
    </row>
    <row r="12" customFormat="false" ht="31.5" hidden="false" customHeight="true" outlineLevel="0" collapsed="false">
      <c r="A12" s="14" t="s">
        <v>265</v>
      </c>
      <c r="B12" s="11" t="s">
        <v>266</v>
      </c>
      <c r="C12" s="12" t="s">
        <v>267</v>
      </c>
      <c r="D12" s="14" t="s">
        <v>104</v>
      </c>
      <c r="E12" s="14" t="n">
        <v>3</v>
      </c>
      <c r="F12" s="14" t="n">
        <v>2</v>
      </c>
      <c r="G12" s="36" t="str">
        <f aca="false">IF(A12="","",IF(AND(E12&gt;=$E$3,F12&gt;=$E$3),"Manage closely",IF(E12&gt;=$E$3,"Keep satisfied",IF(F12&gt;=$E$3,"Keep informed","Monitor"))))</f>
        <v>Monitor</v>
      </c>
      <c r="H12" s="14" t="s">
        <v>220</v>
      </c>
      <c r="I12" s="14" t="s">
        <v>209</v>
      </c>
      <c r="J12" s="37" t="n">
        <f aca="false">IF(OR(A12="",H12="",I12=""),"",IF(I12="Unaware",1,IF(I12="Resistant",2,IF(I12="Neutral",3,IF(I12="Supportive",4,IF(I12="Leading",5,0)))))-IF(H12="Unaware",1,IF(H12="Resistant",2,IF(H12="Neutral",3,IF(H12="Supportive",4,IF(H12="Leading",5,0))))))</f>
        <v>1</v>
      </c>
      <c r="K12" s="37" t="n">
        <f aca="false">IF(J12="","",J12*E12)</f>
        <v>3</v>
      </c>
      <c r="L12" s="12" t="s">
        <v>268</v>
      </c>
      <c r="M12" s="12" t="s">
        <v>269</v>
      </c>
      <c r="N12" s="12" t="s">
        <v>164</v>
      </c>
      <c r="O12" s="14" t="s">
        <v>270</v>
      </c>
      <c r="P12" s="12" t="s">
        <v>271</v>
      </c>
      <c r="Q12" s="12" t="s">
        <v>272</v>
      </c>
      <c r="R12" s="15" t="n">
        <v>46273</v>
      </c>
      <c r="S12" s="12" t="s">
        <v>273</v>
      </c>
      <c r="T12" s="15" t="n">
        <v>46282</v>
      </c>
      <c r="U12" s="36" t="str">
        <f aca="false">IF(OR(A12="",T12=""),"",IF(T12&lt;Cover!$C$7,"Overdue","No"))</f>
        <v>No</v>
      </c>
      <c r="V12" s="38" t="str">
        <f aca="false">IF(G12="Manage closely",ROW(),"")</f>
        <v/>
      </c>
      <c r="W12" s="38" t="str">
        <f aca="false">IF(G12="Keep satisfied",ROW(),"")</f>
        <v/>
      </c>
      <c r="X12" s="38" t="str">
        <f aca="false">IF(G12="Keep informed",ROW(),"")</f>
        <v/>
      </c>
      <c r="Y12" s="38" t="n">
        <f aca="false">IF(G12="Monitor",ROW(),"")</f>
        <v>12</v>
      </c>
      <c r="Z12" s="38" t="n">
        <f aca="false">IF(OR(J12="",N(J12)&lt;=0),"",K12+(1000-ROW())/100000)</f>
        <v>3.00988</v>
      </c>
    </row>
    <row r="13" customFormat="false" ht="31.5" hidden="false" customHeight="true" outlineLevel="0" collapsed="false">
      <c r="A13" s="14" t="s">
        <v>274</v>
      </c>
      <c r="B13" s="11" t="s">
        <v>275</v>
      </c>
      <c r="C13" s="12" t="s">
        <v>276</v>
      </c>
      <c r="D13" s="14" t="s">
        <v>104</v>
      </c>
      <c r="E13" s="14" t="n">
        <v>3</v>
      </c>
      <c r="F13" s="14" t="n">
        <v>2</v>
      </c>
      <c r="G13" s="36" t="str">
        <f aca="false">IF(A13="","",IF(AND(E13&gt;=$E$3,F13&gt;=$E$3),"Manage closely",IF(E13&gt;=$E$3,"Keep satisfied",IF(F13&gt;=$E$3,"Keep informed","Monitor"))))</f>
        <v>Monitor</v>
      </c>
      <c r="H13" s="14" t="s">
        <v>209</v>
      </c>
      <c r="I13" s="14" t="s">
        <v>209</v>
      </c>
      <c r="J13" s="37" t="n">
        <f aca="false">IF(OR(A13="",H13="",I13=""),"",IF(I13="Unaware",1,IF(I13="Resistant",2,IF(I13="Neutral",3,IF(I13="Supportive",4,IF(I13="Leading",5,0)))))-IF(H13="Unaware",1,IF(H13="Resistant",2,IF(H13="Neutral",3,IF(H13="Supportive",4,IF(H13="Leading",5,0))))))</f>
        <v>0</v>
      </c>
      <c r="K13" s="37" t="n">
        <f aca="false">IF(J13="","",J13*E13)</f>
        <v>0</v>
      </c>
      <c r="L13" s="12" t="s">
        <v>277</v>
      </c>
      <c r="M13" s="12" t="s">
        <v>278</v>
      </c>
      <c r="N13" s="12" t="s">
        <v>171</v>
      </c>
      <c r="O13" s="14" t="s">
        <v>213</v>
      </c>
      <c r="P13" s="12" t="s">
        <v>255</v>
      </c>
      <c r="Q13" s="12" t="s">
        <v>279</v>
      </c>
      <c r="R13" s="15" t="n">
        <v>46273</v>
      </c>
      <c r="S13" s="12" t="s">
        <v>280</v>
      </c>
      <c r="T13" s="15" t="n">
        <v>46280</v>
      </c>
      <c r="U13" s="36" t="str">
        <f aca="false">IF(OR(A13="",T13=""),"",IF(T13&lt;Cover!$C$7,"Overdue","No"))</f>
        <v>No</v>
      </c>
      <c r="V13" s="38" t="str">
        <f aca="false">IF(G13="Manage closely",ROW(),"")</f>
        <v/>
      </c>
      <c r="W13" s="38" t="str">
        <f aca="false">IF(G13="Keep satisfied",ROW(),"")</f>
        <v/>
      </c>
      <c r="X13" s="38" t="str">
        <f aca="false">IF(G13="Keep informed",ROW(),"")</f>
        <v/>
      </c>
      <c r="Y13" s="38" t="n">
        <f aca="false">IF(G13="Monitor",ROW(),"")</f>
        <v>13</v>
      </c>
      <c r="Z13" s="38" t="str">
        <f aca="false">IF(OR(J13="",N(J13)&lt;=0),"",K13+(1000-ROW())/100000)</f>
        <v/>
      </c>
    </row>
    <row r="14" customFormat="false" ht="45" hidden="false" customHeight="true" outlineLevel="0" collapsed="false">
      <c r="A14" s="14" t="s">
        <v>281</v>
      </c>
      <c r="B14" s="11" t="s">
        <v>282</v>
      </c>
      <c r="C14" s="12" t="s">
        <v>283</v>
      </c>
      <c r="D14" s="14" t="s">
        <v>104</v>
      </c>
      <c r="E14" s="14" t="n">
        <v>3</v>
      </c>
      <c r="F14" s="14" t="n">
        <v>3</v>
      </c>
      <c r="G14" s="36" t="str">
        <f aca="false">IF(A14="","",IF(AND(E14&gt;=$E$3,F14&gt;=$E$3),"Manage closely",IF(E14&gt;=$E$3,"Keep satisfied",IF(F14&gt;=$E$3,"Keep informed","Monitor"))))</f>
        <v>Monitor</v>
      </c>
      <c r="H14" s="14" t="s">
        <v>220</v>
      </c>
      <c r="I14" s="14" t="s">
        <v>209</v>
      </c>
      <c r="J14" s="37" t="n">
        <f aca="false">IF(OR(A14="",H14="",I14=""),"",IF(I14="Unaware",1,IF(I14="Resistant",2,IF(I14="Neutral",3,IF(I14="Supportive",4,IF(I14="Leading",5,0)))))-IF(H14="Unaware",1,IF(H14="Resistant",2,IF(H14="Neutral",3,IF(H14="Supportive",4,IF(H14="Leading",5,0))))))</f>
        <v>1</v>
      </c>
      <c r="K14" s="37" t="n">
        <f aca="false">IF(J14="","",J14*E14)</f>
        <v>3</v>
      </c>
      <c r="L14" s="12" t="s">
        <v>284</v>
      </c>
      <c r="M14" s="12" t="s">
        <v>285</v>
      </c>
      <c r="N14" s="12" t="s">
        <v>171</v>
      </c>
      <c r="O14" s="14" t="s">
        <v>223</v>
      </c>
      <c r="P14" s="12" t="s">
        <v>232</v>
      </c>
      <c r="Q14" s="12" t="s">
        <v>286</v>
      </c>
      <c r="R14" s="15" t="n">
        <v>46266</v>
      </c>
      <c r="S14" s="12" t="s">
        <v>287</v>
      </c>
      <c r="T14" s="15" t="n">
        <v>46286</v>
      </c>
      <c r="U14" s="36" t="str">
        <f aca="false">IF(OR(A14="",T14=""),"",IF(T14&lt;Cover!$C$7,"Overdue","No"))</f>
        <v>No</v>
      </c>
      <c r="V14" s="38" t="str">
        <f aca="false">IF(G14="Manage closely",ROW(),"")</f>
        <v/>
      </c>
      <c r="W14" s="38" t="str">
        <f aca="false">IF(G14="Keep satisfied",ROW(),"")</f>
        <v/>
      </c>
      <c r="X14" s="38" t="str">
        <f aca="false">IF(G14="Keep informed",ROW(),"")</f>
        <v/>
      </c>
      <c r="Y14" s="38" t="n">
        <f aca="false">IF(G14="Monitor",ROW(),"")</f>
        <v>14</v>
      </c>
      <c r="Z14" s="38" t="n">
        <f aca="false">IF(OR(J14="",N(J14)&lt;=0),"",K14+(1000-ROW())/100000)</f>
        <v>3.00986</v>
      </c>
    </row>
    <row r="15" customFormat="false" ht="45" hidden="false" customHeight="true" outlineLevel="0" collapsed="false">
      <c r="A15" s="14" t="s">
        <v>288</v>
      </c>
      <c r="B15" s="11" t="s">
        <v>289</v>
      </c>
      <c r="C15" s="12" t="s">
        <v>290</v>
      </c>
      <c r="D15" s="14" t="s">
        <v>104</v>
      </c>
      <c r="E15" s="14" t="n">
        <v>4</v>
      </c>
      <c r="F15" s="14" t="n">
        <v>2</v>
      </c>
      <c r="G15" s="36" t="str">
        <f aca="false">IF(A15="","",IF(AND(E15&gt;=$E$3,F15&gt;=$E$3),"Manage closely",IF(E15&gt;=$E$3,"Keep satisfied",IF(F15&gt;=$E$3,"Keep informed","Monitor"))))</f>
        <v>Keep satisfied</v>
      </c>
      <c r="H15" s="14" t="s">
        <v>220</v>
      </c>
      <c r="I15" s="14" t="s">
        <v>209</v>
      </c>
      <c r="J15" s="37" t="n">
        <f aca="false">IF(OR(A15="",H15="",I15=""),"",IF(I15="Unaware",1,IF(I15="Resistant",2,IF(I15="Neutral",3,IF(I15="Supportive",4,IF(I15="Leading",5,0)))))-IF(H15="Unaware",1,IF(H15="Resistant",2,IF(H15="Neutral",3,IF(H15="Supportive",4,IF(H15="Leading",5,0))))))</f>
        <v>1</v>
      </c>
      <c r="K15" s="37" t="n">
        <f aca="false">IF(J15="","",J15*E15)</f>
        <v>4</v>
      </c>
      <c r="L15" s="12" t="s">
        <v>291</v>
      </c>
      <c r="M15" s="12" t="s">
        <v>292</v>
      </c>
      <c r="N15" s="12" t="s">
        <v>164</v>
      </c>
      <c r="O15" s="14" t="s">
        <v>270</v>
      </c>
      <c r="P15" s="12" t="s">
        <v>293</v>
      </c>
      <c r="Q15" s="12" t="s">
        <v>294</v>
      </c>
      <c r="R15" s="15" t="n">
        <v>46273</v>
      </c>
      <c r="S15" s="12" t="s">
        <v>295</v>
      </c>
      <c r="T15" s="15" t="n">
        <v>46296</v>
      </c>
      <c r="U15" s="36" t="str">
        <f aca="false">IF(OR(A15="",T15=""),"",IF(T15&lt;Cover!$C$7,"Overdue","No"))</f>
        <v>No</v>
      </c>
      <c r="V15" s="38" t="str">
        <f aca="false">IF(G15="Manage closely",ROW(),"")</f>
        <v/>
      </c>
      <c r="W15" s="38" t="n">
        <f aca="false">IF(G15="Keep satisfied",ROW(),"")</f>
        <v>15</v>
      </c>
      <c r="X15" s="38" t="str">
        <f aca="false">IF(G15="Keep informed",ROW(),"")</f>
        <v/>
      </c>
      <c r="Y15" s="38" t="str">
        <f aca="false">IF(G15="Monitor",ROW(),"")</f>
        <v/>
      </c>
      <c r="Z15" s="38" t="n">
        <f aca="false">IF(OR(J15="",N(J15)&lt;=0),"",K15+(1000-ROW())/100000)</f>
        <v>4.00985</v>
      </c>
    </row>
    <row r="16" customFormat="false" ht="45" hidden="false" customHeight="true" outlineLevel="0" collapsed="false">
      <c r="A16" s="14" t="s">
        <v>296</v>
      </c>
      <c r="B16" s="11" t="s">
        <v>297</v>
      </c>
      <c r="C16" s="12" t="s">
        <v>298</v>
      </c>
      <c r="D16" s="14" t="s">
        <v>104</v>
      </c>
      <c r="E16" s="14" t="n">
        <v>3</v>
      </c>
      <c r="F16" s="14" t="n">
        <v>3</v>
      </c>
      <c r="G16" s="36" t="str">
        <f aca="false">IF(A16="","",IF(AND(E16&gt;=$E$3,F16&gt;=$E$3),"Manage closely",IF(E16&gt;=$E$3,"Keep satisfied",IF(F16&gt;=$E$3,"Keep informed","Monitor"))))</f>
        <v>Monitor</v>
      </c>
      <c r="H16" s="14" t="s">
        <v>220</v>
      </c>
      <c r="I16" s="14" t="s">
        <v>209</v>
      </c>
      <c r="J16" s="37" t="n">
        <f aca="false">IF(OR(A16="",H16="",I16=""),"",IF(I16="Unaware",1,IF(I16="Resistant",2,IF(I16="Neutral",3,IF(I16="Supportive",4,IF(I16="Leading",5,0)))))-IF(H16="Unaware",1,IF(H16="Resistant",2,IF(H16="Neutral",3,IF(H16="Supportive",4,IF(H16="Leading",5,0))))))</f>
        <v>1</v>
      </c>
      <c r="K16" s="37" t="n">
        <f aca="false">IF(J16="","",J16*E16)</f>
        <v>3</v>
      </c>
      <c r="L16" s="12" t="s">
        <v>299</v>
      </c>
      <c r="M16" s="12" t="s">
        <v>300</v>
      </c>
      <c r="N16" s="12" t="s">
        <v>164</v>
      </c>
      <c r="O16" s="14" t="s">
        <v>270</v>
      </c>
      <c r="P16" s="12" t="s">
        <v>301</v>
      </c>
      <c r="Q16" s="12" t="s">
        <v>302</v>
      </c>
      <c r="R16" s="15" t="n">
        <v>46261</v>
      </c>
      <c r="S16" s="12" t="s">
        <v>303</v>
      </c>
      <c r="T16" s="15" t="n">
        <v>46321</v>
      </c>
      <c r="U16" s="36" t="str">
        <f aca="false">IF(OR(A16="",T16=""),"",IF(T16&lt;Cover!$C$7,"Overdue","No"))</f>
        <v>No</v>
      </c>
      <c r="V16" s="38" t="str">
        <f aca="false">IF(G16="Manage closely",ROW(),"")</f>
        <v/>
      </c>
      <c r="W16" s="38" t="str">
        <f aca="false">IF(G16="Keep satisfied",ROW(),"")</f>
        <v/>
      </c>
      <c r="X16" s="38" t="str">
        <f aca="false">IF(G16="Keep informed",ROW(),"")</f>
        <v/>
      </c>
      <c r="Y16" s="38" t="n">
        <f aca="false">IF(G16="Monitor",ROW(),"")</f>
        <v>16</v>
      </c>
      <c r="Z16" s="38" t="n">
        <f aca="false">IF(OR(J16="",N(J16)&lt;=0),"",K16+(1000-ROW())/100000)</f>
        <v>3.00984</v>
      </c>
    </row>
    <row r="17" customFormat="false" ht="45" hidden="false" customHeight="true" outlineLevel="0" collapsed="false">
      <c r="A17" s="14" t="s">
        <v>304</v>
      </c>
      <c r="B17" s="11" t="s">
        <v>305</v>
      </c>
      <c r="C17" s="12" t="s">
        <v>306</v>
      </c>
      <c r="D17" s="14" t="s">
        <v>104</v>
      </c>
      <c r="E17" s="14" t="n">
        <v>4</v>
      </c>
      <c r="F17" s="14" t="n">
        <v>4</v>
      </c>
      <c r="G17" s="36" t="str">
        <f aca="false">IF(A17="","",IF(AND(E17&gt;=$E$3,F17&gt;=$E$3),"Manage closely",IF(E17&gt;=$E$3,"Keep satisfied",IF(F17&gt;=$E$3,"Keep informed","Monitor"))))</f>
        <v>Manage closely</v>
      </c>
      <c r="H17" s="14" t="s">
        <v>209</v>
      </c>
      <c r="I17" s="14" t="s">
        <v>210</v>
      </c>
      <c r="J17" s="37" t="n">
        <f aca="false">IF(OR(A17="",H17="",I17=""),"",IF(I17="Unaware",1,IF(I17="Resistant",2,IF(I17="Neutral",3,IF(I17="Supportive",4,IF(I17="Leading",5,0)))))-IF(H17="Unaware",1,IF(H17="Resistant",2,IF(H17="Neutral",3,IF(H17="Supportive",4,IF(H17="Leading",5,0))))))</f>
        <v>1</v>
      </c>
      <c r="K17" s="37" t="n">
        <f aca="false">IF(J17="","",J17*E17)</f>
        <v>4</v>
      </c>
      <c r="L17" s="12" t="s">
        <v>307</v>
      </c>
      <c r="M17" s="12" t="s">
        <v>308</v>
      </c>
      <c r="N17" s="12" t="s">
        <v>164</v>
      </c>
      <c r="O17" s="14" t="s">
        <v>213</v>
      </c>
      <c r="P17" s="12" t="s">
        <v>232</v>
      </c>
      <c r="Q17" s="12" t="s">
        <v>309</v>
      </c>
      <c r="R17" s="15" t="n">
        <v>46274</v>
      </c>
      <c r="S17" s="12" t="s">
        <v>310</v>
      </c>
      <c r="T17" s="15" t="n">
        <v>46290</v>
      </c>
      <c r="U17" s="36" t="str">
        <f aca="false">IF(OR(A17="",T17=""),"",IF(T17&lt;Cover!$C$7,"Overdue","No"))</f>
        <v>No</v>
      </c>
      <c r="V17" s="38" t="n">
        <f aca="false">IF(G17="Manage closely",ROW(),"")</f>
        <v>17</v>
      </c>
      <c r="W17" s="38" t="str">
        <f aca="false">IF(G17="Keep satisfied",ROW(),"")</f>
        <v/>
      </c>
      <c r="X17" s="38" t="str">
        <f aca="false">IF(G17="Keep informed",ROW(),"")</f>
        <v/>
      </c>
      <c r="Y17" s="38" t="str">
        <f aca="false">IF(G17="Monitor",ROW(),"")</f>
        <v/>
      </c>
      <c r="Z17" s="38" t="n">
        <f aca="false">IF(OR(J17="",N(J17)&lt;=0),"",K17+(1000-ROW())/100000)</f>
        <v>4.00983</v>
      </c>
    </row>
    <row r="18" customFormat="false" ht="31.5" hidden="false" customHeight="true" outlineLevel="0" collapsed="false">
      <c r="A18" s="14" t="s">
        <v>311</v>
      </c>
      <c r="B18" s="11" t="s">
        <v>312</v>
      </c>
      <c r="C18" s="12" t="s">
        <v>313</v>
      </c>
      <c r="D18" s="14" t="s">
        <v>104</v>
      </c>
      <c r="E18" s="14" t="n">
        <v>2</v>
      </c>
      <c r="F18" s="14" t="n">
        <v>3</v>
      </c>
      <c r="G18" s="36" t="str">
        <f aca="false">IF(A18="","",IF(AND(E18&gt;=$E$3,F18&gt;=$E$3),"Manage closely",IF(E18&gt;=$E$3,"Keep satisfied",IF(F18&gt;=$E$3,"Keep informed","Monitor"))))</f>
        <v>Monitor</v>
      </c>
      <c r="H18" s="14" t="s">
        <v>314</v>
      </c>
      <c r="I18" s="14" t="s">
        <v>209</v>
      </c>
      <c r="J18" s="37" t="n">
        <f aca="false">IF(OR(A18="",H18="",I18=""),"",IF(I18="Unaware",1,IF(I18="Resistant",2,IF(I18="Neutral",3,IF(I18="Supportive",4,IF(I18="Leading",5,0)))))-IF(H18="Unaware",1,IF(H18="Resistant",2,IF(H18="Neutral",3,IF(H18="Supportive",4,IF(H18="Leading",5,0))))))</f>
        <v>3</v>
      </c>
      <c r="K18" s="37" t="n">
        <f aca="false">IF(J18="","",J18*E18)</f>
        <v>6</v>
      </c>
      <c r="L18" s="12" t="s">
        <v>315</v>
      </c>
      <c r="M18" s="12" t="s">
        <v>316</v>
      </c>
      <c r="N18" s="12" t="s">
        <v>305</v>
      </c>
      <c r="O18" s="14" t="s">
        <v>270</v>
      </c>
      <c r="P18" s="12" t="s">
        <v>317</v>
      </c>
      <c r="Q18" s="12" t="s">
        <v>318</v>
      </c>
      <c r="R18" s="15"/>
      <c r="S18" s="12" t="s">
        <v>319</v>
      </c>
      <c r="T18" s="15" t="n">
        <v>46300</v>
      </c>
      <c r="U18" s="36" t="str">
        <f aca="false">IF(OR(A18="",T18=""),"",IF(T18&lt;Cover!$C$7,"Overdue","No"))</f>
        <v>No</v>
      </c>
      <c r="V18" s="38" t="str">
        <f aca="false">IF(G18="Manage closely",ROW(),"")</f>
        <v/>
      </c>
      <c r="W18" s="38" t="str">
        <f aca="false">IF(G18="Keep satisfied",ROW(),"")</f>
        <v/>
      </c>
      <c r="X18" s="38" t="str">
        <f aca="false">IF(G18="Keep informed",ROW(),"")</f>
        <v/>
      </c>
      <c r="Y18" s="38" t="n">
        <f aca="false">IF(G18="Monitor",ROW(),"")</f>
        <v>18</v>
      </c>
      <c r="Z18" s="38" t="n">
        <f aca="false">IF(OR(J18="",N(J18)&lt;=0),"",K18+(1000-ROW())/100000)</f>
        <v>6.00982</v>
      </c>
    </row>
    <row r="19" customFormat="false" ht="45" hidden="false" customHeight="true" outlineLevel="0" collapsed="false">
      <c r="A19" s="14" t="s">
        <v>320</v>
      </c>
      <c r="B19" s="11" t="s">
        <v>321</v>
      </c>
      <c r="C19" s="12" t="s">
        <v>322</v>
      </c>
      <c r="D19" s="14" t="s">
        <v>105</v>
      </c>
      <c r="E19" s="14" t="n">
        <v>4</v>
      </c>
      <c r="F19" s="14" t="n">
        <v>3</v>
      </c>
      <c r="G19" s="36" t="str">
        <f aca="false">IF(A19="","",IF(AND(E19&gt;=$E$3,F19&gt;=$E$3),"Manage closely",IF(E19&gt;=$E$3,"Keep satisfied",IF(F19&gt;=$E$3,"Keep informed","Monitor"))))</f>
        <v>Keep satisfied</v>
      </c>
      <c r="H19" s="14" t="s">
        <v>220</v>
      </c>
      <c r="I19" s="14" t="s">
        <v>209</v>
      </c>
      <c r="J19" s="37" t="n">
        <f aca="false">IF(OR(A19="",H19="",I19=""),"",IF(I19="Unaware",1,IF(I19="Resistant",2,IF(I19="Neutral",3,IF(I19="Supportive",4,IF(I19="Leading",5,0)))))-IF(H19="Unaware",1,IF(H19="Resistant",2,IF(H19="Neutral",3,IF(H19="Supportive",4,IF(H19="Leading",5,0))))))</f>
        <v>1</v>
      </c>
      <c r="K19" s="37" t="n">
        <f aca="false">IF(J19="","",J19*E19)</f>
        <v>4</v>
      </c>
      <c r="L19" s="12" t="s">
        <v>323</v>
      </c>
      <c r="M19" s="12" t="s">
        <v>324</v>
      </c>
      <c r="N19" s="12" t="s">
        <v>167</v>
      </c>
      <c r="O19" s="14" t="s">
        <v>213</v>
      </c>
      <c r="P19" s="12" t="s">
        <v>325</v>
      </c>
      <c r="Q19" s="12" t="s">
        <v>326</v>
      </c>
      <c r="R19" s="15" t="n">
        <v>46273</v>
      </c>
      <c r="S19" s="12" t="s">
        <v>327</v>
      </c>
      <c r="T19" s="15" t="n">
        <v>46280</v>
      </c>
      <c r="U19" s="36" t="str">
        <f aca="false">IF(OR(A19="",T19=""),"",IF(T19&lt;Cover!$C$7,"Overdue","No"))</f>
        <v>No</v>
      </c>
      <c r="V19" s="38" t="str">
        <f aca="false">IF(G19="Manage closely",ROW(),"")</f>
        <v/>
      </c>
      <c r="W19" s="38" t="n">
        <f aca="false">IF(G19="Keep satisfied",ROW(),"")</f>
        <v>19</v>
      </c>
      <c r="X19" s="38" t="str">
        <f aca="false">IF(G19="Keep informed",ROW(),"")</f>
        <v/>
      </c>
      <c r="Y19" s="38" t="str">
        <f aca="false">IF(G19="Monitor",ROW(),"")</f>
        <v/>
      </c>
      <c r="Z19" s="38" t="n">
        <f aca="false">IF(OR(J19="",N(J19)&lt;=0),"",K19+(1000-ROW())/100000)</f>
        <v>4.00981</v>
      </c>
    </row>
    <row r="20" customFormat="false" ht="31.5" hidden="false" customHeight="true" outlineLevel="0" collapsed="false">
      <c r="A20" s="14" t="s">
        <v>328</v>
      </c>
      <c r="B20" s="11" t="s">
        <v>329</v>
      </c>
      <c r="C20" s="12" t="s">
        <v>330</v>
      </c>
      <c r="D20" s="14" t="s">
        <v>105</v>
      </c>
      <c r="E20" s="14" t="n">
        <v>2</v>
      </c>
      <c r="F20" s="14" t="n">
        <v>2</v>
      </c>
      <c r="G20" s="36" t="str">
        <f aca="false">IF(A20="","",IF(AND(E20&gt;=$E$3,F20&gt;=$E$3),"Manage closely",IF(E20&gt;=$E$3,"Keep satisfied",IF(F20&gt;=$E$3,"Keep informed","Monitor"))))</f>
        <v>Monitor</v>
      </c>
      <c r="H20" s="14" t="s">
        <v>220</v>
      </c>
      <c r="I20" s="14" t="s">
        <v>220</v>
      </c>
      <c r="J20" s="37" t="n">
        <f aca="false">IF(OR(A20="",H20="",I20=""),"",IF(I20="Unaware",1,IF(I20="Resistant",2,IF(I20="Neutral",3,IF(I20="Supportive",4,IF(I20="Leading",5,0)))))-IF(H20="Unaware",1,IF(H20="Resistant",2,IF(H20="Neutral",3,IF(H20="Supportive",4,IF(H20="Leading",5,0))))))</f>
        <v>0</v>
      </c>
      <c r="K20" s="37" t="n">
        <f aca="false">IF(J20="","",J20*E20)</f>
        <v>0</v>
      </c>
      <c r="L20" s="12" t="s">
        <v>331</v>
      </c>
      <c r="M20" s="12" t="s">
        <v>332</v>
      </c>
      <c r="N20" s="12" t="s">
        <v>171</v>
      </c>
      <c r="O20" s="14" t="s">
        <v>160</v>
      </c>
      <c r="P20" s="12" t="s">
        <v>333</v>
      </c>
      <c r="Q20" s="12" t="s">
        <v>334</v>
      </c>
      <c r="R20" s="15" t="n">
        <v>46268</v>
      </c>
      <c r="S20" s="12" t="s">
        <v>335</v>
      </c>
      <c r="T20" s="15" t="n">
        <v>46274</v>
      </c>
      <c r="U20" s="36" t="str">
        <f aca="false">IF(OR(A20="",T20=""),"",IF(T20&lt;Cover!$C$7,"Overdue","No"))</f>
        <v>Overdue</v>
      </c>
      <c r="V20" s="38" t="str">
        <f aca="false">IF(G20="Manage closely",ROW(),"")</f>
        <v/>
      </c>
      <c r="W20" s="38" t="str">
        <f aca="false">IF(G20="Keep satisfied",ROW(),"")</f>
        <v/>
      </c>
      <c r="X20" s="38" t="str">
        <f aca="false">IF(G20="Keep informed",ROW(),"")</f>
        <v/>
      </c>
      <c r="Y20" s="38" t="n">
        <f aca="false">IF(G20="Monitor",ROW(),"")</f>
        <v>20</v>
      </c>
      <c r="Z20" s="38" t="str">
        <f aca="false">IF(OR(J20="",N(J20)&lt;=0),"",K20+(1000-ROW())/100000)</f>
        <v/>
      </c>
    </row>
    <row r="21" customFormat="false" ht="45" hidden="false" customHeight="true" outlineLevel="0" collapsed="false">
      <c r="A21" s="14" t="s">
        <v>336</v>
      </c>
      <c r="B21" s="11" t="s">
        <v>337</v>
      </c>
      <c r="C21" s="12" t="s">
        <v>338</v>
      </c>
      <c r="D21" s="14" t="s">
        <v>106</v>
      </c>
      <c r="E21" s="14" t="n">
        <v>2</v>
      </c>
      <c r="F21" s="14" t="n">
        <v>5</v>
      </c>
      <c r="G21" s="36" t="str">
        <f aca="false">IF(A21="","",IF(AND(E21&gt;=$E$3,F21&gt;=$E$3),"Manage closely",IF(E21&gt;=$E$3,"Keep satisfied",IF(F21&gt;=$E$3,"Keep informed","Monitor"))))</f>
        <v>Keep informed</v>
      </c>
      <c r="H21" s="14" t="s">
        <v>314</v>
      </c>
      <c r="I21" s="14" t="s">
        <v>209</v>
      </c>
      <c r="J21" s="37" t="n">
        <f aca="false">IF(OR(A21="",H21="",I21=""),"",IF(I21="Unaware",1,IF(I21="Resistant",2,IF(I21="Neutral",3,IF(I21="Supportive",4,IF(I21="Leading",5,0)))))-IF(H21="Unaware",1,IF(H21="Resistant",2,IF(H21="Neutral",3,IF(H21="Supportive",4,IF(H21="Leading",5,0))))))</f>
        <v>3</v>
      </c>
      <c r="K21" s="37" t="n">
        <f aca="false">IF(J21="","",J21*E21)</f>
        <v>6</v>
      </c>
      <c r="L21" s="12" t="s">
        <v>339</v>
      </c>
      <c r="M21" s="12" t="s">
        <v>340</v>
      </c>
      <c r="N21" s="12" t="s">
        <v>305</v>
      </c>
      <c r="O21" s="14" t="s">
        <v>341</v>
      </c>
      <c r="P21" s="12" t="s">
        <v>342</v>
      </c>
      <c r="Q21" s="12" t="s">
        <v>343</v>
      </c>
      <c r="R21" s="15"/>
      <c r="S21" s="12" t="s">
        <v>344</v>
      </c>
      <c r="T21" s="15" t="n">
        <v>46328</v>
      </c>
      <c r="U21" s="36" t="str">
        <f aca="false">IF(OR(A21="",T21=""),"",IF(T21&lt;Cover!$C$7,"Overdue","No"))</f>
        <v>No</v>
      </c>
      <c r="V21" s="38" t="str">
        <f aca="false">IF(G21="Manage closely",ROW(),"")</f>
        <v/>
      </c>
      <c r="W21" s="38" t="str">
        <f aca="false">IF(G21="Keep satisfied",ROW(),"")</f>
        <v/>
      </c>
      <c r="X21" s="38" t="n">
        <f aca="false">IF(G21="Keep informed",ROW(),"")</f>
        <v>21</v>
      </c>
      <c r="Y21" s="38" t="str">
        <f aca="false">IF(G21="Monitor",ROW(),"")</f>
        <v/>
      </c>
      <c r="Z21" s="38" t="n">
        <f aca="false">IF(OR(J21="",N(J21)&lt;=0),"",K21+(1000-ROW())/100000)</f>
        <v>6.00979</v>
      </c>
    </row>
    <row r="22" customFormat="false" ht="45" hidden="false" customHeight="true" outlineLevel="0" collapsed="false">
      <c r="A22" s="14" t="s">
        <v>345</v>
      </c>
      <c r="B22" s="11" t="s">
        <v>173</v>
      </c>
      <c r="C22" s="12" t="s">
        <v>346</v>
      </c>
      <c r="D22" s="14" t="s">
        <v>107</v>
      </c>
      <c r="E22" s="14" t="n">
        <v>3</v>
      </c>
      <c r="F22" s="14" t="n">
        <v>5</v>
      </c>
      <c r="G22" s="36" t="str">
        <f aca="false">IF(A22="","",IF(AND(E22&gt;=$E$3,F22&gt;=$E$3),"Manage closely",IF(E22&gt;=$E$3,"Keep satisfied",IF(F22&gt;=$E$3,"Keep informed","Monitor"))))</f>
        <v>Keep informed</v>
      </c>
      <c r="H22" s="14" t="s">
        <v>209</v>
      </c>
      <c r="I22" s="14" t="s">
        <v>209</v>
      </c>
      <c r="J22" s="37" t="n">
        <f aca="false">IF(OR(A22="",H22="",I22=""),"",IF(I22="Unaware",1,IF(I22="Resistant",2,IF(I22="Neutral",3,IF(I22="Supportive",4,IF(I22="Leading",5,0)))))-IF(H22="Unaware",1,IF(H22="Resistant",2,IF(H22="Neutral",3,IF(H22="Supportive",4,IF(H22="Leading",5,0))))))</f>
        <v>0</v>
      </c>
      <c r="K22" s="37" t="n">
        <f aca="false">IF(J22="","",J22*E22)</f>
        <v>0</v>
      </c>
      <c r="L22" s="12" t="s">
        <v>347</v>
      </c>
      <c r="M22" s="12" t="s">
        <v>348</v>
      </c>
      <c r="N22" s="12" t="s">
        <v>164</v>
      </c>
      <c r="O22" s="14" t="s">
        <v>349</v>
      </c>
      <c r="P22" s="12" t="s">
        <v>350</v>
      </c>
      <c r="Q22" s="12" t="s">
        <v>351</v>
      </c>
      <c r="R22" s="15" t="n">
        <v>46275</v>
      </c>
      <c r="S22" s="12" t="s">
        <v>352</v>
      </c>
      <c r="T22" s="15" t="n">
        <v>46276</v>
      </c>
      <c r="U22" s="36" t="str">
        <f aca="false">IF(OR(A22="",T22=""),"",IF(T22&lt;Cover!$C$7,"Overdue","No"))</f>
        <v>No</v>
      </c>
      <c r="V22" s="38" t="str">
        <f aca="false">IF(G22="Manage closely",ROW(),"")</f>
        <v/>
      </c>
      <c r="W22" s="38" t="str">
        <f aca="false">IF(G22="Keep satisfied",ROW(),"")</f>
        <v/>
      </c>
      <c r="X22" s="38" t="n">
        <f aca="false">IF(G22="Keep informed",ROW(),"")</f>
        <v>22</v>
      </c>
      <c r="Y22" s="38" t="str">
        <f aca="false">IF(G22="Monitor",ROW(),"")</f>
        <v/>
      </c>
      <c r="Z22" s="38" t="str">
        <f aca="false">IF(OR(J22="",N(J22)&lt;=0),"",K22+(1000-ROW())/100000)</f>
        <v/>
      </c>
    </row>
    <row r="23" customFormat="false" ht="19.5" hidden="false" customHeight="true" outlineLevel="0" collapsed="false">
      <c r="A23" s="14"/>
      <c r="B23" s="12"/>
      <c r="C23" s="12"/>
      <c r="D23" s="14"/>
      <c r="E23" s="14"/>
      <c r="F23" s="14"/>
      <c r="G23" s="36" t="str">
        <f aca="false">IF(A23="","",IF(AND(E23&gt;=$E$3,F23&gt;=$E$3),"Manage closely",IF(E23&gt;=$E$3,"Keep satisfied",IF(F23&gt;=$E$3,"Keep informed","Monitor"))))</f>
        <v/>
      </c>
      <c r="H23" s="14"/>
      <c r="I23" s="14"/>
      <c r="J23" s="37" t="str">
        <f aca="false">IF(OR(A23="",H23="",I23=""),"",IF(I23="Unaware",1,IF(I23="Resistant",2,IF(I23="Neutral",3,IF(I23="Supportive",4,IF(I23="Leading",5,0)))))-IF(H23="Unaware",1,IF(H23="Resistant",2,IF(H23="Neutral",3,IF(H23="Supportive",4,IF(H23="Leading",5,0))))))</f>
        <v/>
      </c>
      <c r="K23" s="37" t="str">
        <f aca="false">IF(J23="","",J23*E23)</f>
        <v/>
      </c>
      <c r="L23" s="12"/>
      <c r="M23" s="12"/>
      <c r="N23" s="12"/>
      <c r="O23" s="14"/>
      <c r="P23" s="12"/>
      <c r="Q23" s="12"/>
      <c r="R23" s="15"/>
      <c r="S23" s="12"/>
      <c r="T23" s="15"/>
      <c r="U23" s="36" t="str">
        <f aca="false">IF(OR(A23="",T23=""),"",IF(T23&lt;Cover!$C$7,"Overdue","No"))</f>
        <v/>
      </c>
      <c r="V23" s="38" t="str">
        <f aca="false">IF(G23="Manage closely",ROW(),"")</f>
        <v/>
      </c>
      <c r="W23" s="38" t="str">
        <f aca="false">IF(G23="Keep satisfied",ROW(),"")</f>
        <v/>
      </c>
      <c r="X23" s="38" t="str">
        <f aca="false">IF(G23="Keep informed",ROW(),"")</f>
        <v/>
      </c>
      <c r="Y23" s="38" t="str">
        <f aca="false">IF(G23="Monitor",ROW(),"")</f>
        <v/>
      </c>
      <c r="Z23" s="38" t="str">
        <f aca="false">IF(OR(J23="",N(J23)&lt;=0),"",K23+(1000-ROW())/100000)</f>
        <v/>
      </c>
    </row>
    <row r="24" customFormat="false" ht="19.5" hidden="false" customHeight="true" outlineLevel="0" collapsed="false">
      <c r="A24" s="14"/>
      <c r="B24" s="12"/>
      <c r="C24" s="12"/>
      <c r="D24" s="14"/>
      <c r="E24" s="14"/>
      <c r="F24" s="14"/>
      <c r="G24" s="36" t="str">
        <f aca="false">IF(A24="","",IF(AND(E24&gt;=$E$3,F24&gt;=$E$3),"Manage closely",IF(E24&gt;=$E$3,"Keep satisfied",IF(F24&gt;=$E$3,"Keep informed","Monitor"))))</f>
        <v/>
      </c>
      <c r="H24" s="14"/>
      <c r="I24" s="14"/>
      <c r="J24" s="37" t="str">
        <f aca="false">IF(OR(A24="",H24="",I24=""),"",IF(I24="Unaware",1,IF(I24="Resistant",2,IF(I24="Neutral",3,IF(I24="Supportive",4,IF(I24="Leading",5,0)))))-IF(H24="Unaware",1,IF(H24="Resistant",2,IF(H24="Neutral",3,IF(H24="Supportive",4,IF(H24="Leading",5,0))))))</f>
        <v/>
      </c>
      <c r="K24" s="37" t="str">
        <f aca="false">IF(J24="","",J24*E24)</f>
        <v/>
      </c>
      <c r="L24" s="12"/>
      <c r="M24" s="12"/>
      <c r="N24" s="12"/>
      <c r="O24" s="14"/>
      <c r="P24" s="12"/>
      <c r="Q24" s="12"/>
      <c r="R24" s="15"/>
      <c r="S24" s="12"/>
      <c r="T24" s="15"/>
      <c r="U24" s="36" t="str">
        <f aca="false">IF(OR(A24="",T24=""),"",IF(T24&lt;Cover!$C$7,"Overdue","No"))</f>
        <v/>
      </c>
      <c r="V24" s="38" t="str">
        <f aca="false">IF(G24="Manage closely",ROW(),"")</f>
        <v/>
      </c>
      <c r="W24" s="38" t="str">
        <f aca="false">IF(G24="Keep satisfied",ROW(),"")</f>
        <v/>
      </c>
      <c r="X24" s="38" t="str">
        <f aca="false">IF(G24="Keep informed",ROW(),"")</f>
        <v/>
      </c>
      <c r="Y24" s="38" t="str">
        <f aca="false">IF(G24="Monitor",ROW(),"")</f>
        <v/>
      </c>
      <c r="Z24" s="38" t="str">
        <f aca="false">IF(OR(J24="",N(J24)&lt;=0),"",K24+(1000-ROW())/100000)</f>
        <v/>
      </c>
    </row>
    <row r="25" customFormat="false" ht="19.5" hidden="false" customHeight="true" outlineLevel="0" collapsed="false">
      <c r="A25" s="14"/>
      <c r="B25" s="12"/>
      <c r="C25" s="12"/>
      <c r="D25" s="14"/>
      <c r="E25" s="14"/>
      <c r="F25" s="14"/>
      <c r="G25" s="36" t="str">
        <f aca="false">IF(A25="","",IF(AND(E25&gt;=$E$3,F25&gt;=$E$3),"Manage closely",IF(E25&gt;=$E$3,"Keep satisfied",IF(F25&gt;=$E$3,"Keep informed","Monitor"))))</f>
        <v/>
      </c>
      <c r="H25" s="14"/>
      <c r="I25" s="14"/>
      <c r="J25" s="37" t="str">
        <f aca="false">IF(OR(A25="",H25="",I25=""),"",IF(I25="Unaware",1,IF(I25="Resistant",2,IF(I25="Neutral",3,IF(I25="Supportive",4,IF(I25="Leading",5,0)))))-IF(H25="Unaware",1,IF(H25="Resistant",2,IF(H25="Neutral",3,IF(H25="Supportive",4,IF(H25="Leading",5,0))))))</f>
        <v/>
      </c>
      <c r="K25" s="37" t="str">
        <f aca="false">IF(J25="","",J25*E25)</f>
        <v/>
      </c>
      <c r="L25" s="12"/>
      <c r="M25" s="12"/>
      <c r="N25" s="12"/>
      <c r="O25" s="14"/>
      <c r="P25" s="12"/>
      <c r="Q25" s="12"/>
      <c r="R25" s="15"/>
      <c r="S25" s="12"/>
      <c r="T25" s="15"/>
      <c r="U25" s="36" t="str">
        <f aca="false">IF(OR(A25="",T25=""),"",IF(T25&lt;Cover!$C$7,"Overdue","No"))</f>
        <v/>
      </c>
      <c r="V25" s="38" t="str">
        <f aca="false">IF(G25="Manage closely",ROW(),"")</f>
        <v/>
      </c>
      <c r="W25" s="38" t="str">
        <f aca="false">IF(G25="Keep satisfied",ROW(),"")</f>
        <v/>
      </c>
      <c r="X25" s="38" t="str">
        <f aca="false">IF(G25="Keep informed",ROW(),"")</f>
        <v/>
      </c>
      <c r="Y25" s="38" t="str">
        <f aca="false">IF(G25="Monitor",ROW(),"")</f>
        <v/>
      </c>
      <c r="Z25" s="38" t="str">
        <f aca="false">IF(OR(J25="",N(J25)&lt;=0),"",K25+(1000-ROW())/100000)</f>
        <v/>
      </c>
    </row>
    <row r="26" customFormat="false" ht="19.5" hidden="false" customHeight="true" outlineLevel="0" collapsed="false">
      <c r="A26" s="14"/>
      <c r="B26" s="12"/>
      <c r="C26" s="12"/>
      <c r="D26" s="14"/>
      <c r="E26" s="14"/>
      <c r="F26" s="14"/>
      <c r="G26" s="36" t="str">
        <f aca="false">IF(A26="","",IF(AND(E26&gt;=$E$3,F26&gt;=$E$3),"Manage closely",IF(E26&gt;=$E$3,"Keep satisfied",IF(F26&gt;=$E$3,"Keep informed","Monitor"))))</f>
        <v/>
      </c>
      <c r="H26" s="14"/>
      <c r="I26" s="14"/>
      <c r="J26" s="37" t="str">
        <f aca="false">IF(OR(A26="",H26="",I26=""),"",IF(I26="Unaware",1,IF(I26="Resistant",2,IF(I26="Neutral",3,IF(I26="Supportive",4,IF(I26="Leading",5,0)))))-IF(H26="Unaware",1,IF(H26="Resistant",2,IF(H26="Neutral",3,IF(H26="Supportive",4,IF(H26="Leading",5,0))))))</f>
        <v/>
      </c>
      <c r="K26" s="37" t="str">
        <f aca="false">IF(J26="","",J26*E26)</f>
        <v/>
      </c>
      <c r="L26" s="12"/>
      <c r="M26" s="12"/>
      <c r="N26" s="12"/>
      <c r="O26" s="14"/>
      <c r="P26" s="12"/>
      <c r="Q26" s="12"/>
      <c r="R26" s="15"/>
      <c r="S26" s="12"/>
      <c r="T26" s="15"/>
      <c r="U26" s="36" t="str">
        <f aca="false">IF(OR(A26="",T26=""),"",IF(T26&lt;Cover!$C$7,"Overdue","No"))</f>
        <v/>
      </c>
      <c r="V26" s="38" t="str">
        <f aca="false">IF(G26="Manage closely",ROW(),"")</f>
        <v/>
      </c>
      <c r="W26" s="38" t="str">
        <f aca="false">IF(G26="Keep satisfied",ROW(),"")</f>
        <v/>
      </c>
      <c r="X26" s="38" t="str">
        <f aca="false">IF(G26="Keep informed",ROW(),"")</f>
        <v/>
      </c>
      <c r="Y26" s="38" t="str">
        <f aca="false">IF(G26="Monitor",ROW(),"")</f>
        <v/>
      </c>
      <c r="Z26" s="38" t="str">
        <f aca="false">IF(OR(J26="",N(J26)&lt;=0),"",K26+(1000-ROW())/100000)</f>
        <v/>
      </c>
    </row>
    <row r="27" customFormat="false" ht="19.5" hidden="false" customHeight="true" outlineLevel="0" collapsed="false">
      <c r="A27" s="14"/>
      <c r="B27" s="12"/>
      <c r="C27" s="12"/>
      <c r="D27" s="14"/>
      <c r="E27" s="14"/>
      <c r="F27" s="14"/>
      <c r="G27" s="36" t="str">
        <f aca="false">IF(A27="","",IF(AND(E27&gt;=$E$3,F27&gt;=$E$3),"Manage closely",IF(E27&gt;=$E$3,"Keep satisfied",IF(F27&gt;=$E$3,"Keep informed","Monitor"))))</f>
        <v/>
      </c>
      <c r="H27" s="14"/>
      <c r="I27" s="14"/>
      <c r="J27" s="37" t="str">
        <f aca="false">IF(OR(A27="",H27="",I27=""),"",IF(I27="Unaware",1,IF(I27="Resistant",2,IF(I27="Neutral",3,IF(I27="Supportive",4,IF(I27="Leading",5,0)))))-IF(H27="Unaware",1,IF(H27="Resistant",2,IF(H27="Neutral",3,IF(H27="Supportive",4,IF(H27="Leading",5,0))))))</f>
        <v/>
      </c>
      <c r="K27" s="37" t="str">
        <f aca="false">IF(J27="","",J27*E27)</f>
        <v/>
      </c>
      <c r="L27" s="12"/>
      <c r="M27" s="12"/>
      <c r="N27" s="12"/>
      <c r="O27" s="14"/>
      <c r="P27" s="12"/>
      <c r="Q27" s="12"/>
      <c r="R27" s="15"/>
      <c r="S27" s="12"/>
      <c r="T27" s="15"/>
      <c r="U27" s="36" t="str">
        <f aca="false">IF(OR(A27="",T27=""),"",IF(T27&lt;Cover!$C$7,"Overdue","No"))</f>
        <v/>
      </c>
      <c r="V27" s="38" t="str">
        <f aca="false">IF(G27="Manage closely",ROW(),"")</f>
        <v/>
      </c>
      <c r="W27" s="38" t="str">
        <f aca="false">IF(G27="Keep satisfied",ROW(),"")</f>
        <v/>
      </c>
      <c r="X27" s="38" t="str">
        <f aca="false">IF(G27="Keep informed",ROW(),"")</f>
        <v/>
      </c>
      <c r="Y27" s="38" t="str">
        <f aca="false">IF(G27="Monitor",ROW(),"")</f>
        <v/>
      </c>
      <c r="Z27" s="38" t="str">
        <f aca="false">IF(OR(J27="",N(J27)&lt;=0),"",K27+(1000-ROW())/100000)</f>
        <v/>
      </c>
    </row>
    <row r="28" customFormat="false" ht="19.5" hidden="false" customHeight="true" outlineLevel="0" collapsed="false">
      <c r="A28" s="14"/>
      <c r="B28" s="12"/>
      <c r="C28" s="12"/>
      <c r="D28" s="14"/>
      <c r="E28" s="14"/>
      <c r="F28" s="14"/>
      <c r="G28" s="36" t="str">
        <f aca="false">IF(A28="","",IF(AND(E28&gt;=$E$3,F28&gt;=$E$3),"Manage closely",IF(E28&gt;=$E$3,"Keep satisfied",IF(F28&gt;=$E$3,"Keep informed","Monitor"))))</f>
        <v/>
      </c>
      <c r="H28" s="14"/>
      <c r="I28" s="14"/>
      <c r="J28" s="37" t="str">
        <f aca="false">IF(OR(A28="",H28="",I28=""),"",IF(I28="Unaware",1,IF(I28="Resistant",2,IF(I28="Neutral",3,IF(I28="Supportive",4,IF(I28="Leading",5,0)))))-IF(H28="Unaware",1,IF(H28="Resistant",2,IF(H28="Neutral",3,IF(H28="Supportive",4,IF(H28="Leading",5,0))))))</f>
        <v/>
      </c>
      <c r="K28" s="37" t="str">
        <f aca="false">IF(J28="","",J28*E28)</f>
        <v/>
      </c>
      <c r="L28" s="12"/>
      <c r="M28" s="12"/>
      <c r="N28" s="12"/>
      <c r="O28" s="14"/>
      <c r="P28" s="12"/>
      <c r="Q28" s="12"/>
      <c r="R28" s="15"/>
      <c r="S28" s="12"/>
      <c r="T28" s="15"/>
      <c r="U28" s="36" t="str">
        <f aca="false">IF(OR(A28="",T28=""),"",IF(T28&lt;Cover!$C$7,"Overdue","No"))</f>
        <v/>
      </c>
      <c r="V28" s="38" t="str">
        <f aca="false">IF(G28="Manage closely",ROW(),"")</f>
        <v/>
      </c>
      <c r="W28" s="38" t="str">
        <f aca="false">IF(G28="Keep satisfied",ROW(),"")</f>
        <v/>
      </c>
      <c r="X28" s="38" t="str">
        <f aca="false">IF(G28="Keep informed",ROW(),"")</f>
        <v/>
      </c>
      <c r="Y28" s="38" t="str">
        <f aca="false">IF(G28="Monitor",ROW(),"")</f>
        <v/>
      </c>
      <c r="Z28" s="38" t="str">
        <f aca="false">IF(OR(J28="",N(J28)&lt;=0),"",K28+(1000-ROW())/100000)</f>
        <v/>
      </c>
    </row>
    <row r="29" customFormat="false" ht="19.5" hidden="false" customHeight="true" outlineLevel="0" collapsed="false">
      <c r="A29" s="14"/>
      <c r="B29" s="12"/>
      <c r="C29" s="12"/>
      <c r="D29" s="14"/>
      <c r="E29" s="14"/>
      <c r="F29" s="14"/>
      <c r="G29" s="36" t="str">
        <f aca="false">IF(A29="","",IF(AND(E29&gt;=$E$3,F29&gt;=$E$3),"Manage closely",IF(E29&gt;=$E$3,"Keep satisfied",IF(F29&gt;=$E$3,"Keep informed","Monitor"))))</f>
        <v/>
      </c>
      <c r="H29" s="14"/>
      <c r="I29" s="14"/>
      <c r="J29" s="37" t="str">
        <f aca="false">IF(OR(A29="",H29="",I29=""),"",IF(I29="Unaware",1,IF(I29="Resistant",2,IF(I29="Neutral",3,IF(I29="Supportive",4,IF(I29="Leading",5,0)))))-IF(H29="Unaware",1,IF(H29="Resistant",2,IF(H29="Neutral",3,IF(H29="Supportive",4,IF(H29="Leading",5,0))))))</f>
        <v/>
      </c>
      <c r="K29" s="37" t="str">
        <f aca="false">IF(J29="","",J29*E29)</f>
        <v/>
      </c>
      <c r="L29" s="12"/>
      <c r="M29" s="12"/>
      <c r="N29" s="12"/>
      <c r="O29" s="14"/>
      <c r="P29" s="12"/>
      <c r="Q29" s="12"/>
      <c r="R29" s="15"/>
      <c r="S29" s="12"/>
      <c r="T29" s="15"/>
      <c r="U29" s="36" t="str">
        <f aca="false">IF(OR(A29="",T29=""),"",IF(T29&lt;Cover!$C$7,"Overdue","No"))</f>
        <v/>
      </c>
      <c r="V29" s="38" t="str">
        <f aca="false">IF(G29="Manage closely",ROW(),"")</f>
        <v/>
      </c>
      <c r="W29" s="38" t="str">
        <f aca="false">IF(G29="Keep satisfied",ROW(),"")</f>
        <v/>
      </c>
      <c r="X29" s="38" t="str">
        <f aca="false">IF(G29="Keep informed",ROW(),"")</f>
        <v/>
      </c>
      <c r="Y29" s="38" t="str">
        <f aca="false">IF(G29="Monitor",ROW(),"")</f>
        <v/>
      </c>
      <c r="Z29" s="38" t="str">
        <f aca="false">IF(OR(J29="",N(J29)&lt;=0),"",K29+(1000-ROW())/100000)</f>
        <v/>
      </c>
    </row>
    <row r="30" customFormat="false" ht="19.5" hidden="false" customHeight="true" outlineLevel="0" collapsed="false">
      <c r="A30" s="14"/>
      <c r="B30" s="12"/>
      <c r="C30" s="12"/>
      <c r="D30" s="14"/>
      <c r="E30" s="14"/>
      <c r="F30" s="14"/>
      <c r="G30" s="36" t="str">
        <f aca="false">IF(A30="","",IF(AND(E30&gt;=$E$3,F30&gt;=$E$3),"Manage closely",IF(E30&gt;=$E$3,"Keep satisfied",IF(F30&gt;=$E$3,"Keep informed","Monitor"))))</f>
        <v/>
      </c>
      <c r="H30" s="14"/>
      <c r="I30" s="14"/>
      <c r="J30" s="37" t="str">
        <f aca="false">IF(OR(A30="",H30="",I30=""),"",IF(I30="Unaware",1,IF(I30="Resistant",2,IF(I30="Neutral",3,IF(I30="Supportive",4,IF(I30="Leading",5,0)))))-IF(H30="Unaware",1,IF(H30="Resistant",2,IF(H30="Neutral",3,IF(H30="Supportive",4,IF(H30="Leading",5,0))))))</f>
        <v/>
      </c>
      <c r="K30" s="37" t="str">
        <f aca="false">IF(J30="","",J30*E30)</f>
        <v/>
      </c>
      <c r="L30" s="12"/>
      <c r="M30" s="12"/>
      <c r="N30" s="12"/>
      <c r="O30" s="14"/>
      <c r="P30" s="12"/>
      <c r="Q30" s="12"/>
      <c r="R30" s="15"/>
      <c r="S30" s="12"/>
      <c r="T30" s="15"/>
      <c r="U30" s="36" t="str">
        <f aca="false">IF(OR(A30="",T30=""),"",IF(T30&lt;Cover!$C$7,"Overdue","No"))</f>
        <v/>
      </c>
      <c r="V30" s="38" t="str">
        <f aca="false">IF(G30="Manage closely",ROW(),"")</f>
        <v/>
      </c>
      <c r="W30" s="38" t="str">
        <f aca="false">IF(G30="Keep satisfied",ROW(),"")</f>
        <v/>
      </c>
      <c r="X30" s="38" t="str">
        <f aca="false">IF(G30="Keep informed",ROW(),"")</f>
        <v/>
      </c>
      <c r="Y30" s="38" t="str">
        <f aca="false">IF(G30="Monitor",ROW(),"")</f>
        <v/>
      </c>
      <c r="Z30" s="38" t="str">
        <f aca="false">IF(OR(J30="",N(J30)&lt;=0),"",K30+(1000-ROW())/100000)</f>
        <v/>
      </c>
    </row>
    <row r="31" customFormat="false" ht="19.5" hidden="false" customHeight="true" outlineLevel="0" collapsed="false">
      <c r="A31" s="14"/>
      <c r="B31" s="12"/>
      <c r="C31" s="12"/>
      <c r="D31" s="14"/>
      <c r="E31" s="14"/>
      <c r="F31" s="14"/>
      <c r="G31" s="36" t="str">
        <f aca="false">IF(A31="","",IF(AND(E31&gt;=$E$3,F31&gt;=$E$3),"Manage closely",IF(E31&gt;=$E$3,"Keep satisfied",IF(F31&gt;=$E$3,"Keep informed","Monitor"))))</f>
        <v/>
      </c>
      <c r="H31" s="14"/>
      <c r="I31" s="14"/>
      <c r="J31" s="37" t="str">
        <f aca="false">IF(OR(A31="",H31="",I31=""),"",IF(I31="Unaware",1,IF(I31="Resistant",2,IF(I31="Neutral",3,IF(I31="Supportive",4,IF(I31="Leading",5,0)))))-IF(H31="Unaware",1,IF(H31="Resistant",2,IF(H31="Neutral",3,IF(H31="Supportive",4,IF(H31="Leading",5,0))))))</f>
        <v/>
      </c>
      <c r="K31" s="37" t="str">
        <f aca="false">IF(J31="","",J31*E31)</f>
        <v/>
      </c>
      <c r="L31" s="12"/>
      <c r="M31" s="12"/>
      <c r="N31" s="12"/>
      <c r="O31" s="14"/>
      <c r="P31" s="12"/>
      <c r="Q31" s="12"/>
      <c r="R31" s="15"/>
      <c r="S31" s="12"/>
      <c r="T31" s="15"/>
      <c r="U31" s="36" t="str">
        <f aca="false">IF(OR(A31="",T31=""),"",IF(T31&lt;Cover!$C$7,"Overdue","No"))</f>
        <v/>
      </c>
      <c r="V31" s="38" t="str">
        <f aca="false">IF(G31="Manage closely",ROW(),"")</f>
        <v/>
      </c>
      <c r="W31" s="38" t="str">
        <f aca="false">IF(G31="Keep satisfied",ROW(),"")</f>
        <v/>
      </c>
      <c r="X31" s="38" t="str">
        <f aca="false">IF(G31="Keep informed",ROW(),"")</f>
        <v/>
      </c>
      <c r="Y31" s="38" t="str">
        <f aca="false">IF(G31="Monitor",ROW(),"")</f>
        <v/>
      </c>
      <c r="Z31" s="38" t="str">
        <f aca="false">IF(OR(J31="",N(J31)&lt;=0),"",K31+(1000-ROW())/100000)</f>
        <v/>
      </c>
    </row>
    <row r="32" customFormat="false" ht="19.5" hidden="false" customHeight="true" outlineLevel="0" collapsed="false">
      <c r="A32" s="14"/>
      <c r="B32" s="12"/>
      <c r="C32" s="12"/>
      <c r="D32" s="14"/>
      <c r="E32" s="14"/>
      <c r="F32" s="14"/>
      <c r="G32" s="36" t="str">
        <f aca="false">IF(A32="","",IF(AND(E32&gt;=$E$3,F32&gt;=$E$3),"Manage closely",IF(E32&gt;=$E$3,"Keep satisfied",IF(F32&gt;=$E$3,"Keep informed","Monitor"))))</f>
        <v/>
      </c>
      <c r="H32" s="14"/>
      <c r="I32" s="14"/>
      <c r="J32" s="37" t="str">
        <f aca="false">IF(OR(A32="",H32="",I32=""),"",IF(I32="Unaware",1,IF(I32="Resistant",2,IF(I32="Neutral",3,IF(I32="Supportive",4,IF(I32="Leading",5,0)))))-IF(H32="Unaware",1,IF(H32="Resistant",2,IF(H32="Neutral",3,IF(H32="Supportive",4,IF(H32="Leading",5,0))))))</f>
        <v/>
      </c>
      <c r="K32" s="37" t="str">
        <f aca="false">IF(J32="","",J32*E32)</f>
        <v/>
      </c>
      <c r="L32" s="12"/>
      <c r="M32" s="12"/>
      <c r="N32" s="12"/>
      <c r="O32" s="14"/>
      <c r="P32" s="12"/>
      <c r="Q32" s="12"/>
      <c r="R32" s="15"/>
      <c r="S32" s="12"/>
      <c r="T32" s="15"/>
      <c r="U32" s="36" t="str">
        <f aca="false">IF(OR(A32="",T32=""),"",IF(T32&lt;Cover!$C$7,"Overdue","No"))</f>
        <v/>
      </c>
      <c r="V32" s="38" t="str">
        <f aca="false">IF(G32="Manage closely",ROW(),"")</f>
        <v/>
      </c>
      <c r="W32" s="38" t="str">
        <f aca="false">IF(G32="Keep satisfied",ROW(),"")</f>
        <v/>
      </c>
      <c r="X32" s="38" t="str">
        <f aca="false">IF(G32="Keep informed",ROW(),"")</f>
        <v/>
      </c>
      <c r="Y32" s="38" t="str">
        <f aca="false">IF(G32="Monitor",ROW(),"")</f>
        <v/>
      </c>
      <c r="Z32" s="38" t="str">
        <f aca="false">IF(OR(J32="",N(J32)&lt;=0),"",K32+(1000-ROW())/100000)</f>
        <v/>
      </c>
    </row>
    <row r="33" customFormat="false" ht="19.5" hidden="false" customHeight="true" outlineLevel="0" collapsed="false">
      <c r="A33" s="14"/>
      <c r="B33" s="12"/>
      <c r="C33" s="12"/>
      <c r="D33" s="14"/>
      <c r="E33" s="14"/>
      <c r="F33" s="14"/>
      <c r="G33" s="36" t="str">
        <f aca="false">IF(A33="","",IF(AND(E33&gt;=$E$3,F33&gt;=$E$3),"Manage closely",IF(E33&gt;=$E$3,"Keep satisfied",IF(F33&gt;=$E$3,"Keep informed","Monitor"))))</f>
        <v/>
      </c>
      <c r="H33" s="14"/>
      <c r="I33" s="14"/>
      <c r="J33" s="37" t="str">
        <f aca="false">IF(OR(A33="",H33="",I33=""),"",IF(I33="Unaware",1,IF(I33="Resistant",2,IF(I33="Neutral",3,IF(I33="Supportive",4,IF(I33="Leading",5,0)))))-IF(H33="Unaware",1,IF(H33="Resistant",2,IF(H33="Neutral",3,IF(H33="Supportive",4,IF(H33="Leading",5,0))))))</f>
        <v/>
      </c>
      <c r="K33" s="37" t="str">
        <f aca="false">IF(J33="","",J33*E33)</f>
        <v/>
      </c>
      <c r="L33" s="12"/>
      <c r="M33" s="12"/>
      <c r="N33" s="12"/>
      <c r="O33" s="14"/>
      <c r="P33" s="12"/>
      <c r="Q33" s="12"/>
      <c r="R33" s="15"/>
      <c r="S33" s="12"/>
      <c r="T33" s="15"/>
      <c r="U33" s="36" t="str">
        <f aca="false">IF(OR(A33="",T33=""),"",IF(T33&lt;Cover!$C$7,"Overdue","No"))</f>
        <v/>
      </c>
      <c r="V33" s="38" t="str">
        <f aca="false">IF(G33="Manage closely",ROW(),"")</f>
        <v/>
      </c>
      <c r="W33" s="38" t="str">
        <f aca="false">IF(G33="Keep satisfied",ROW(),"")</f>
        <v/>
      </c>
      <c r="X33" s="38" t="str">
        <f aca="false">IF(G33="Keep informed",ROW(),"")</f>
        <v/>
      </c>
      <c r="Y33" s="38" t="str">
        <f aca="false">IF(G33="Monitor",ROW(),"")</f>
        <v/>
      </c>
      <c r="Z33" s="38" t="str">
        <f aca="false">IF(OR(J33="",N(J33)&lt;=0),"",K33+(1000-ROW())/100000)</f>
        <v/>
      </c>
    </row>
    <row r="34" customFormat="false" ht="19.5" hidden="false" customHeight="true" outlineLevel="0" collapsed="false">
      <c r="A34" s="14"/>
      <c r="B34" s="12"/>
      <c r="C34" s="12"/>
      <c r="D34" s="14"/>
      <c r="E34" s="14"/>
      <c r="F34" s="14"/>
      <c r="G34" s="36" t="str">
        <f aca="false">IF(A34="","",IF(AND(E34&gt;=$E$3,F34&gt;=$E$3),"Manage closely",IF(E34&gt;=$E$3,"Keep satisfied",IF(F34&gt;=$E$3,"Keep informed","Monitor"))))</f>
        <v/>
      </c>
      <c r="H34" s="14"/>
      <c r="I34" s="14"/>
      <c r="J34" s="37" t="str">
        <f aca="false">IF(OR(A34="",H34="",I34=""),"",IF(I34="Unaware",1,IF(I34="Resistant",2,IF(I34="Neutral",3,IF(I34="Supportive",4,IF(I34="Leading",5,0)))))-IF(H34="Unaware",1,IF(H34="Resistant",2,IF(H34="Neutral",3,IF(H34="Supportive",4,IF(H34="Leading",5,0))))))</f>
        <v/>
      </c>
      <c r="K34" s="37" t="str">
        <f aca="false">IF(J34="","",J34*E34)</f>
        <v/>
      </c>
      <c r="L34" s="12"/>
      <c r="M34" s="12"/>
      <c r="N34" s="12"/>
      <c r="O34" s="14"/>
      <c r="P34" s="12"/>
      <c r="Q34" s="12"/>
      <c r="R34" s="15"/>
      <c r="S34" s="12"/>
      <c r="T34" s="15"/>
      <c r="U34" s="36" t="str">
        <f aca="false">IF(OR(A34="",T34=""),"",IF(T34&lt;Cover!$C$7,"Overdue","No"))</f>
        <v/>
      </c>
      <c r="V34" s="38" t="str">
        <f aca="false">IF(G34="Manage closely",ROW(),"")</f>
        <v/>
      </c>
      <c r="W34" s="38" t="str">
        <f aca="false">IF(G34="Keep satisfied",ROW(),"")</f>
        <v/>
      </c>
      <c r="X34" s="38" t="str">
        <f aca="false">IF(G34="Keep informed",ROW(),"")</f>
        <v/>
      </c>
      <c r="Y34" s="38" t="str">
        <f aca="false">IF(G34="Monitor",ROW(),"")</f>
        <v/>
      </c>
      <c r="Z34" s="38" t="str">
        <f aca="false">IF(OR(J34="",N(J34)&lt;=0),"",K34+(1000-ROW())/100000)</f>
        <v/>
      </c>
    </row>
    <row r="35" customFormat="false" ht="19.5" hidden="false" customHeight="true" outlineLevel="0" collapsed="false">
      <c r="A35" s="14"/>
      <c r="B35" s="12"/>
      <c r="C35" s="12"/>
      <c r="D35" s="14"/>
      <c r="E35" s="14"/>
      <c r="F35" s="14"/>
      <c r="G35" s="36" t="str">
        <f aca="false">IF(A35="","",IF(AND(E35&gt;=$E$3,F35&gt;=$E$3),"Manage closely",IF(E35&gt;=$E$3,"Keep satisfied",IF(F35&gt;=$E$3,"Keep informed","Monitor"))))</f>
        <v/>
      </c>
      <c r="H35" s="14"/>
      <c r="I35" s="14"/>
      <c r="J35" s="37" t="str">
        <f aca="false">IF(OR(A35="",H35="",I35=""),"",IF(I35="Unaware",1,IF(I35="Resistant",2,IF(I35="Neutral",3,IF(I35="Supportive",4,IF(I35="Leading",5,0)))))-IF(H35="Unaware",1,IF(H35="Resistant",2,IF(H35="Neutral",3,IF(H35="Supportive",4,IF(H35="Leading",5,0))))))</f>
        <v/>
      </c>
      <c r="K35" s="37" t="str">
        <f aca="false">IF(J35="","",J35*E35)</f>
        <v/>
      </c>
      <c r="L35" s="12"/>
      <c r="M35" s="12"/>
      <c r="N35" s="12"/>
      <c r="O35" s="14"/>
      <c r="P35" s="12"/>
      <c r="Q35" s="12"/>
      <c r="R35" s="15"/>
      <c r="S35" s="12"/>
      <c r="T35" s="15"/>
      <c r="U35" s="36" t="str">
        <f aca="false">IF(OR(A35="",T35=""),"",IF(T35&lt;Cover!$C$7,"Overdue","No"))</f>
        <v/>
      </c>
      <c r="V35" s="38" t="str">
        <f aca="false">IF(G35="Manage closely",ROW(),"")</f>
        <v/>
      </c>
      <c r="W35" s="38" t="str">
        <f aca="false">IF(G35="Keep satisfied",ROW(),"")</f>
        <v/>
      </c>
      <c r="X35" s="38" t="str">
        <f aca="false">IF(G35="Keep informed",ROW(),"")</f>
        <v/>
      </c>
      <c r="Y35" s="38" t="str">
        <f aca="false">IF(G35="Monitor",ROW(),"")</f>
        <v/>
      </c>
      <c r="Z35" s="38" t="str">
        <f aca="false">IF(OR(J35="",N(J35)&lt;=0),"",K35+(1000-ROW())/100000)</f>
        <v/>
      </c>
    </row>
    <row r="36" customFormat="false" ht="19.5" hidden="false" customHeight="true" outlineLevel="0" collapsed="false">
      <c r="A36" s="14"/>
      <c r="B36" s="12"/>
      <c r="C36" s="12"/>
      <c r="D36" s="14"/>
      <c r="E36" s="14"/>
      <c r="F36" s="14"/>
      <c r="G36" s="36" t="str">
        <f aca="false">IF(A36="","",IF(AND(E36&gt;=$E$3,F36&gt;=$E$3),"Manage closely",IF(E36&gt;=$E$3,"Keep satisfied",IF(F36&gt;=$E$3,"Keep informed","Monitor"))))</f>
        <v/>
      </c>
      <c r="H36" s="14"/>
      <c r="I36" s="14"/>
      <c r="J36" s="37" t="str">
        <f aca="false">IF(OR(A36="",H36="",I36=""),"",IF(I36="Unaware",1,IF(I36="Resistant",2,IF(I36="Neutral",3,IF(I36="Supportive",4,IF(I36="Leading",5,0)))))-IF(H36="Unaware",1,IF(H36="Resistant",2,IF(H36="Neutral",3,IF(H36="Supportive",4,IF(H36="Leading",5,0))))))</f>
        <v/>
      </c>
      <c r="K36" s="37" t="str">
        <f aca="false">IF(J36="","",J36*E36)</f>
        <v/>
      </c>
      <c r="L36" s="12"/>
      <c r="M36" s="12"/>
      <c r="N36" s="12"/>
      <c r="O36" s="14"/>
      <c r="P36" s="12"/>
      <c r="Q36" s="12"/>
      <c r="R36" s="15"/>
      <c r="S36" s="12"/>
      <c r="T36" s="15"/>
      <c r="U36" s="36" t="str">
        <f aca="false">IF(OR(A36="",T36=""),"",IF(T36&lt;Cover!$C$7,"Overdue","No"))</f>
        <v/>
      </c>
      <c r="V36" s="38" t="str">
        <f aca="false">IF(G36="Manage closely",ROW(),"")</f>
        <v/>
      </c>
      <c r="W36" s="38" t="str">
        <f aca="false">IF(G36="Keep satisfied",ROW(),"")</f>
        <v/>
      </c>
      <c r="X36" s="38" t="str">
        <f aca="false">IF(G36="Keep informed",ROW(),"")</f>
        <v/>
      </c>
      <c r="Y36" s="38" t="str">
        <f aca="false">IF(G36="Monitor",ROW(),"")</f>
        <v/>
      </c>
      <c r="Z36" s="38" t="str">
        <f aca="false">IF(OR(J36="",N(J36)&lt;=0),"",K36+(1000-ROW())/100000)</f>
        <v/>
      </c>
    </row>
    <row r="37" customFormat="false" ht="19.5" hidden="false" customHeight="true" outlineLevel="0" collapsed="false">
      <c r="A37" s="14"/>
      <c r="B37" s="12"/>
      <c r="C37" s="12"/>
      <c r="D37" s="14"/>
      <c r="E37" s="14"/>
      <c r="F37" s="14"/>
      <c r="G37" s="36" t="str">
        <f aca="false">IF(A37="","",IF(AND(E37&gt;=$E$3,F37&gt;=$E$3),"Manage closely",IF(E37&gt;=$E$3,"Keep satisfied",IF(F37&gt;=$E$3,"Keep informed","Monitor"))))</f>
        <v/>
      </c>
      <c r="H37" s="14"/>
      <c r="I37" s="14"/>
      <c r="J37" s="37" t="str">
        <f aca="false">IF(OR(A37="",H37="",I37=""),"",IF(I37="Unaware",1,IF(I37="Resistant",2,IF(I37="Neutral",3,IF(I37="Supportive",4,IF(I37="Leading",5,0)))))-IF(H37="Unaware",1,IF(H37="Resistant",2,IF(H37="Neutral",3,IF(H37="Supportive",4,IF(H37="Leading",5,0))))))</f>
        <v/>
      </c>
      <c r="K37" s="37" t="str">
        <f aca="false">IF(J37="","",J37*E37)</f>
        <v/>
      </c>
      <c r="L37" s="12"/>
      <c r="M37" s="12"/>
      <c r="N37" s="12"/>
      <c r="O37" s="14"/>
      <c r="P37" s="12"/>
      <c r="Q37" s="12"/>
      <c r="R37" s="15"/>
      <c r="S37" s="12"/>
      <c r="T37" s="15"/>
      <c r="U37" s="36" t="str">
        <f aca="false">IF(OR(A37="",T37=""),"",IF(T37&lt;Cover!$C$7,"Overdue","No"))</f>
        <v/>
      </c>
      <c r="V37" s="38" t="str">
        <f aca="false">IF(G37="Manage closely",ROW(),"")</f>
        <v/>
      </c>
      <c r="W37" s="38" t="str">
        <f aca="false">IF(G37="Keep satisfied",ROW(),"")</f>
        <v/>
      </c>
      <c r="X37" s="38" t="str">
        <f aca="false">IF(G37="Keep informed",ROW(),"")</f>
        <v/>
      </c>
      <c r="Y37" s="38" t="str">
        <f aca="false">IF(G37="Monitor",ROW(),"")</f>
        <v/>
      </c>
      <c r="Z37" s="38" t="str">
        <f aca="false">IF(OR(J37="",N(J37)&lt;=0),"",K37+(1000-ROW())/100000)</f>
        <v/>
      </c>
    </row>
    <row r="38" customFormat="false" ht="19.5" hidden="false" customHeight="true" outlineLevel="0" collapsed="false">
      <c r="A38" s="14"/>
      <c r="B38" s="12"/>
      <c r="C38" s="12"/>
      <c r="D38" s="14"/>
      <c r="E38" s="14"/>
      <c r="F38" s="14"/>
      <c r="G38" s="36" t="str">
        <f aca="false">IF(A38="","",IF(AND(E38&gt;=$E$3,F38&gt;=$E$3),"Manage closely",IF(E38&gt;=$E$3,"Keep satisfied",IF(F38&gt;=$E$3,"Keep informed","Monitor"))))</f>
        <v/>
      </c>
      <c r="H38" s="14"/>
      <c r="I38" s="14"/>
      <c r="J38" s="37" t="str">
        <f aca="false">IF(OR(A38="",H38="",I38=""),"",IF(I38="Unaware",1,IF(I38="Resistant",2,IF(I38="Neutral",3,IF(I38="Supportive",4,IF(I38="Leading",5,0)))))-IF(H38="Unaware",1,IF(H38="Resistant",2,IF(H38="Neutral",3,IF(H38="Supportive",4,IF(H38="Leading",5,0))))))</f>
        <v/>
      </c>
      <c r="K38" s="37" t="str">
        <f aca="false">IF(J38="","",J38*E38)</f>
        <v/>
      </c>
      <c r="L38" s="12"/>
      <c r="M38" s="12"/>
      <c r="N38" s="12"/>
      <c r="O38" s="14"/>
      <c r="P38" s="12"/>
      <c r="Q38" s="12"/>
      <c r="R38" s="15"/>
      <c r="S38" s="12"/>
      <c r="T38" s="15"/>
      <c r="U38" s="36" t="str">
        <f aca="false">IF(OR(A38="",T38=""),"",IF(T38&lt;Cover!$C$7,"Overdue","No"))</f>
        <v/>
      </c>
      <c r="V38" s="38" t="str">
        <f aca="false">IF(G38="Manage closely",ROW(),"")</f>
        <v/>
      </c>
      <c r="W38" s="38" t="str">
        <f aca="false">IF(G38="Keep satisfied",ROW(),"")</f>
        <v/>
      </c>
      <c r="X38" s="38" t="str">
        <f aca="false">IF(G38="Keep informed",ROW(),"")</f>
        <v/>
      </c>
      <c r="Y38" s="38" t="str">
        <f aca="false">IF(G38="Monitor",ROW(),"")</f>
        <v/>
      </c>
      <c r="Z38" s="38" t="str">
        <f aca="false">IF(OR(J38="",N(J38)&lt;=0),"",K38+(1000-ROW())/100000)</f>
        <v/>
      </c>
    </row>
    <row r="39" customFormat="false" ht="19.5" hidden="false" customHeight="true" outlineLevel="0" collapsed="false">
      <c r="A39" s="14"/>
      <c r="B39" s="12"/>
      <c r="C39" s="12"/>
      <c r="D39" s="14"/>
      <c r="E39" s="14"/>
      <c r="F39" s="14"/>
      <c r="G39" s="36" t="str">
        <f aca="false">IF(A39="","",IF(AND(E39&gt;=$E$3,F39&gt;=$E$3),"Manage closely",IF(E39&gt;=$E$3,"Keep satisfied",IF(F39&gt;=$E$3,"Keep informed","Monitor"))))</f>
        <v/>
      </c>
      <c r="H39" s="14"/>
      <c r="I39" s="14"/>
      <c r="J39" s="37" t="str">
        <f aca="false">IF(OR(A39="",H39="",I39=""),"",IF(I39="Unaware",1,IF(I39="Resistant",2,IF(I39="Neutral",3,IF(I39="Supportive",4,IF(I39="Leading",5,0)))))-IF(H39="Unaware",1,IF(H39="Resistant",2,IF(H39="Neutral",3,IF(H39="Supportive",4,IF(H39="Leading",5,0))))))</f>
        <v/>
      </c>
      <c r="K39" s="37" t="str">
        <f aca="false">IF(J39="","",J39*E39)</f>
        <v/>
      </c>
      <c r="L39" s="12"/>
      <c r="M39" s="12"/>
      <c r="N39" s="12"/>
      <c r="O39" s="14"/>
      <c r="P39" s="12"/>
      <c r="Q39" s="12"/>
      <c r="R39" s="15"/>
      <c r="S39" s="12"/>
      <c r="T39" s="15"/>
      <c r="U39" s="36" t="str">
        <f aca="false">IF(OR(A39="",T39=""),"",IF(T39&lt;Cover!$C$7,"Overdue","No"))</f>
        <v/>
      </c>
      <c r="V39" s="38" t="str">
        <f aca="false">IF(G39="Manage closely",ROW(),"")</f>
        <v/>
      </c>
      <c r="W39" s="38" t="str">
        <f aca="false">IF(G39="Keep satisfied",ROW(),"")</f>
        <v/>
      </c>
      <c r="X39" s="38" t="str">
        <f aca="false">IF(G39="Keep informed",ROW(),"")</f>
        <v/>
      </c>
      <c r="Y39" s="38" t="str">
        <f aca="false">IF(G39="Monitor",ROW(),"")</f>
        <v/>
      </c>
      <c r="Z39" s="38" t="str">
        <f aca="false">IF(OR(J39="",N(J39)&lt;=0),"",K39+(1000-ROW())/100000)</f>
        <v/>
      </c>
    </row>
    <row r="40" customFormat="false" ht="19.5" hidden="false" customHeight="true" outlineLevel="0" collapsed="false">
      <c r="A40" s="14"/>
      <c r="B40" s="12"/>
      <c r="C40" s="12"/>
      <c r="D40" s="14"/>
      <c r="E40" s="14"/>
      <c r="F40" s="14"/>
      <c r="G40" s="36" t="str">
        <f aca="false">IF(A40="","",IF(AND(E40&gt;=$E$3,F40&gt;=$E$3),"Manage closely",IF(E40&gt;=$E$3,"Keep satisfied",IF(F40&gt;=$E$3,"Keep informed","Monitor"))))</f>
        <v/>
      </c>
      <c r="H40" s="14"/>
      <c r="I40" s="14"/>
      <c r="J40" s="37" t="str">
        <f aca="false">IF(OR(A40="",H40="",I40=""),"",IF(I40="Unaware",1,IF(I40="Resistant",2,IF(I40="Neutral",3,IF(I40="Supportive",4,IF(I40="Leading",5,0)))))-IF(H40="Unaware",1,IF(H40="Resistant",2,IF(H40="Neutral",3,IF(H40="Supportive",4,IF(H40="Leading",5,0))))))</f>
        <v/>
      </c>
      <c r="K40" s="37" t="str">
        <f aca="false">IF(J40="","",J40*E40)</f>
        <v/>
      </c>
      <c r="L40" s="12"/>
      <c r="M40" s="12"/>
      <c r="N40" s="12"/>
      <c r="O40" s="14"/>
      <c r="P40" s="12"/>
      <c r="Q40" s="12"/>
      <c r="R40" s="15"/>
      <c r="S40" s="12"/>
      <c r="T40" s="15"/>
      <c r="U40" s="36" t="str">
        <f aca="false">IF(OR(A40="",T40=""),"",IF(T40&lt;Cover!$C$7,"Overdue","No"))</f>
        <v/>
      </c>
      <c r="V40" s="38" t="str">
        <f aca="false">IF(G40="Manage closely",ROW(),"")</f>
        <v/>
      </c>
      <c r="W40" s="38" t="str">
        <f aca="false">IF(G40="Keep satisfied",ROW(),"")</f>
        <v/>
      </c>
      <c r="X40" s="38" t="str">
        <f aca="false">IF(G40="Keep informed",ROW(),"")</f>
        <v/>
      </c>
      <c r="Y40" s="38" t="str">
        <f aca="false">IF(G40="Monitor",ROW(),"")</f>
        <v/>
      </c>
      <c r="Z40" s="38" t="str">
        <f aca="false">IF(OR(J40="",N(J40)&lt;=0),"",K40+(1000-ROW())/100000)</f>
        <v/>
      </c>
    </row>
    <row r="41" customFormat="false" ht="19.5" hidden="false" customHeight="true" outlineLevel="0" collapsed="false">
      <c r="A41" s="14"/>
      <c r="B41" s="12"/>
      <c r="C41" s="12"/>
      <c r="D41" s="14"/>
      <c r="E41" s="14"/>
      <c r="F41" s="14"/>
      <c r="G41" s="36" t="str">
        <f aca="false">IF(A41="","",IF(AND(E41&gt;=$E$3,F41&gt;=$E$3),"Manage closely",IF(E41&gt;=$E$3,"Keep satisfied",IF(F41&gt;=$E$3,"Keep informed","Monitor"))))</f>
        <v/>
      </c>
      <c r="H41" s="14"/>
      <c r="I41" s="14"/>
      <c r="J41" s="37" t="str">
        <f aca="false">IF(OR(A41="",H41="",I41=""),"",IF(I41="Unaware",1,IF(I41="Resistant",2,IF(I41="Neutral",3,IF(I41="Supportive",4,IF(I41="Leading",5,0)))))-IF(H41="Unaware",1,IF(H41="Resistant",2,IF(H41="Neutral",3,IF(H41="Supportive",4,IF(H41="Leading",5,0))))))</f>
        <v/>
      </c>
      <c r="K41" s="37" t="str">
        <f aca="false">IF(J41="","",J41*E41)</f>
        <v/>
      </c>
      <c r="L41" s="12"/>
      <c r="M41" s="12"/>
      <c r="N41" s="12"/>
      <c r="O41" s="14"/>
      <c r="P41" s="12"/>
      <c r="Q41" s="12"/>
      <c r="R41" s="15"/>
      <c r="S41" s="12"/>
      <c r="T41" s="15"/>
      <c r="U41" s="36" t="str">
        <f aca="false">IF(OR(A41="",T41=""),"",IF(T41&lt;Cover!$C$7,"Overdue","No"))</f>
        <v/>
      </c>
      <c r="V41" s="38" t="str">
        <f aca="false">IF(G41="Manage closely",ROW(),"")</f>
        <v/>
      </c>
      <c r="W41" s="38" t="str">
        <f aca="false">IF(G41="Keep satisfied",ROW(),"")</f>
        <v/>
      </c>
      <c r="X41" s="38" t="str">
        <f aca="false">IF(G41="Keep informed",ROW(),"")</f>
        <v/>
      </c>
      <c r="Y41" s="38" t="str">
        <f aca="false">IF(G41="Monitor",ROW(),"")</f>
        <v/>
      </c>
      <c r="Z41" s="38" t="str">
        <f aca="false">IF(OR(J41="",N(J41)&lt;=0),"",K41+(1000-ROW())/100000)</f>
        <v/>
      </c>
    </row>
    <row r="42" customFormat="false" ht="19.5" hidden="false" customHeight="true" outlineLevel="0" collapsed="false">
      <c r="A42" s="14"/>
      <c r="B42" s="12"/>
      <c r="C42" s="12"/>
      <c r="D42" s="14"/>
      <c r="E42" s="14"/>
      <c r="F42" s="14"/>
      <c r="G42" s="36" t="str">
        <f aca="false">IF(A42="","",IF(AND(E42&gt;=$E$3,F42&gt;=$E$3),"Manage closely",IF(E42&gt;=$E$3,"Keep satisfied",IF(F42&gt;=$E$3,"Keep informed","Monitor"))))</f>
        <v/>
      </c>
      <c r="H42" s="14"/>
      <c r="I42" s="14"/>
      <c r="J42" s="37" t="str">
        <f aca="false">IF(OR(A42="",H42="",I42=""),"",IF(I42="Unaware",1,IF(I42="Resistant",2,IF(I42="Neutral",3,IF(I42="Supportive",4,IF(I42="Leading",5,0)))))-IF(H42="Unaware",1,IF(H42="Resistant",2,IF(H42="Neutral",3,IF(H42="Supportive",4,IF(H42="Leading",5,0))))))</f>
        <v/>
      </c>
      <c r="K42" s="37" t="str">
        <f aca="false">IF(J42="","",J42*E42)</f>
        <v/>
      </c>
      <c r="L42" s="12"/>
      <c r="M42" s="12"/>
      <c r="N42" s="12"/>
      <c r="O42" s="14"/>
      <c r="P42" s="12"/>
      <c r="Q42" s="12"/>
      <c r="R42" s="15"/>
      <c r="S42" s="12"/>
      <c r="T42" s="15"/>
      <c r="U42" s="36" t="str">
        <f aca="false">IF(OR(A42="",T42=""),"",IF(T42&lt;Cover!$C$7,"Overdue","No"))</f>
        <v/>
      </c>
      <c r="V42" s="38" t="str">
        <f aca="false">IF(G42="Manage closely",ROW(),"")</f>
        <v/>
      </c>
      <c r="W42" s="38" t="str">
        <f aca="false">IF(G42="Keep satisfied",ROW(),"")</f>
        <v/>
      </c>
      <c r="X42" s="38" t="str">
        <f aca="false">IF(G42="Keep informed",ROW(),"")</f>
        <v/>
      </c>
      <c r="Y42" s="38" t="str">
        <f aca="false">IF(G42="Monitor",ROW(),"")</f>
        <v/>
      </c>
      <c r="Z42" s="38" t="str">
        <f aca="false">IF(OR(J42="",N(J42)&lt;=0),"",K42+(1000-ROW())/100000)</f>
        <v/>
      </c>
    </row>
    <row r="43" customFormat="false" ht="19.5" hidden="false" customHeight="true" outlineLevel="0" collapsed="false">
      <c r="A43" s="14"/>
      <c r="B43" s="12"/>
      <c r="C43" s="12"/>
      <c r="D43" s="14"/>
      <c r="E43" s="14"/>
      <c r="F43" s="14"/>
      <c r="G43" s="36" t="str">
        <f aca="false">IF(A43="","",IF(AND(E43&gt;=$E$3,F43&gt;=$E$3),"Manage closely",IF(E43&gt;=$E$3,"Keep satisfied",IF(F43&gt;=$E$3,"Keep informed","Monitor"))))</f>
        <v/>
      </c>
      <c r="H43" s="14"/>
      <c r="I43" s="14"/>
      <c r="J43" s="37" t="str">
        <f aca="false">IF(OR(A43="",H43="",I43=""),"",IF(I43="Unaware",1,IF(I43="Resistant",2,IF(I43="Neutral",3,IF(I43="Supportive",4,IF(I43="Leading",5,0)))))-IF(H43="Unaware",1,IF(H43="Resistant",2,IF(H43="Neutral",3,IF(H43="Supportive",4,IF(H43="Leading",5,0))))))</f>
        <v/>
      </c>
      <c r="K43" s="37" t="str">
        <f aca="false">IF(J43="","",J43*E43)</f>
        <v/>
      </c>
      <c r="L43" s="12"/>
      <c r="M43" s="12"/>
      <c r="N43" s="12"/>
      <c r="O43" s="14"/>
      <c r="P43" s="12"/>
      <c r="Q43" s="12"/>
      <c r="R43" s="15"/>
      <c r="S43" s="12"/>
      <c r="T43" s="15"/>
      <c r="U43" s="36" t="str">
        <f aca="false">IF(OR(A43="",T43=""),"",IF(T43&lt;Cover!$C$7,"Overdue","No"))</f>
        <v/>
      </c>
      <c r="V43" s="38" t="str">
        <f aca="false">IF(G43="Manage closely",ROW(),"")</f>
        <v/>
      </c>
      <c r="W43" s="38" t="str">
        <f aca="false">IF(G43="Keep satisfied",ROW(),"")</f>
        <v/>
      </c>
      <c r="X43" s="38" t="str">
        <f aca="false">IF(G43="Keep informed",ROW(),"")</f>
        <v/>
      </c>
      <c r="Y43" s="38" t="str">
        <f aca="false">IF(G43="Monitor",ROW(),"")</f>
        <v/>
      </c>
      <c r="Z43" s="38" t="str">
        <f aca="false">IF(OR(J43="",N(J43)&lt;=0),"",K43+(1000-ROW())/100000)</f>
        <v/>
      </c>
    </row>
    <row r="44" customFormat="false" ht="19.5" hidden="false" customHeight="true" outlineLevel="0" collapsed="false">
      <c r="A44" s="14"/>
      <c r="B44" s="12"/>
      <c r="C44" s="12"/>
      <c r="D44" s="14"/>
      <c r="E44" s="14"/>
      <c r="F44" s="14"/>
      <c r="G44" s="36" t="str">
        <f aca="false">IF(A44="","",IF(AND(E44&gt;=$E$3,F44&gt;=$E$3),"Manage closely",IF(E44&gt;=$E$3,"Keep satisfied",IF(F44&gt;=$E$3,"Keep informed","Monitor"))))</f>
        <v/>
      </c>
      <c r="H44" s="14"/>
      <c r="I44" s="14"/>
      <c r="J44" s="37" t="str">
        <f aca="false">IF(OR(A44="",H44="",I44=""),"",IF(I44="Unaware",1,IF(I44="Resistant",2,IF(I44="Neutral",3,IF(I44="Supportive",4,IF(I44="Leading",5,0)))))-IF(H44="Unaware",1,IF(H44="Resistant",2,IF(H44="Neutral",3,IF(H44="Supportive",4,IF(H44="Leading",5,0))))))</f>
        <v/>
      </c>
      <c r="K44" s="37" t="str">
        <f aca="false">IF(J44="","",J44*E44)</f>
        <v/>
      </c>
      <c r="L44" s="12"/>
      <c r="M44" s="12"/>
      <c r="N44" s="12"/>
      <c r="O44" s="14"/>
      <c r="P44" s="12"/>
      <c r="Q44" s="12"/>
      <c r="R44" s="15"/>
      <c r="S44" s="12"/>
      <c r="T44" s="15"/>
      <c r="U44" s="36" t="str">
        <f aca="false">IF(OR(A44="",T44=""),"",IF(T44&lt;Cover!$C$7,"Overdue","No"))</f>
        <v/>
      </c>
      <c r="V44" s="38" t="str">
        <f aca="false">IF(G44="Manage closely",ROW(),"")</f>
        <v/>
      </c>
      <c r="W44" s="38" t="str">
        <f aca="false">IF(G44="Keep satisfied",ROW(),"")</f>
        <v/>
      </c>
      <c r="X44" s="38" t="str">
        <f aca="false">IF(G44="Keep informed",ROW(),"")</f>
        <v/>
      </c>
      <c r="Y44" s="38" t="str">
        <f aca="false">IF(G44="Monitor",ROW(),"")</f>
        <v/>
      </c>
      <c r="Z44" s="38" t="str">
        <f aca="false">IF(OR(J44="",N(J44)&lt;=0),"",K44+(1000-ROW())/100000)</f>
        <v/>
      </c>
    </row>
    <row r="45" customFormat="false" ht="19.5" hidden="false" customHeight="true" outlineLevel="0" collapsed="false">
      <c r="A45" s="14"/>
      <c r="B45" s="12"/>
      <c r="C45" s="12"/>
      <c r="D45" s="14"/>
      <c r="E45" s="14"/>
      <c r="F45" s="14"/>
      <c r="G45" s="36" t="str">
        <f aca="false">IF(A45="","",IF(AND(E45&gt;=$E$3,F45&gt;=$E$3),"Manage closely",IF(E45&gt;=$E$3,"Keep satisfied",IF(F45&gt;=$E$3,"Keep informed","Monitor"))))</f>
        <v/>
      </c>
      <c r="H45" s="14"/>
      <c r="I45" s="14"/>
      <c r="J45" s="37" t="str">
        <f aca="false">IF(OR(A45="",H45="",I45=""),"",IF(I45="Unaware",1,IF(I45="Resistant",2,IF(I45="Neutral",3,IF(I45="Supportive",4,IF(I45="Leading",5,0)))))-IF(H45="Unaware",1,IF(H45="Resistant",2,IF(H45="Neutral",3,IF(H45="Supportive",4,IF(H45="Leading",5,0))))))</f>
        <v/>
      </c>
      <c r="K45" s="37" t="str">
        <f aca="false">IF(J45="","",J45*E45)</f>
        <v/>
      </c>
      <c r="L45" s="12"/>
      <c r="M45" s="12"/>
      <c r="N45" s="12"/>
      <c r="O45" s="14"/>
      <c r="P45" s="12"/>
      <c r="Q45" s="12"/>
      <c r="R45" s="15"/>
      <c r="S45" s="12"/>
      <c r="T45" s="15"/>
      <c r="U45" s="36" t="str">
        <f aca="false">IF(OR(A45="",T45=""),"",IF(T45&lt;Cover!$C$7,"Overdue","No"))</f>
        <v/>
      </c>
      <c r="V45" s="38" t="str">
        <f aca="false">IF(G45="Manage closely",ROW(),"")</f>
        <v/>
      </c>
      <c r="W45" s="38" t="str">
        <f aca="false">IF(G45="Keep satisfied",ROW(),"")</f>
        <v/>
      </c>
      <c r="X45" s="38" t="str">
        <f aca="false">IF(G45="Keep informed",ROW(),"")</f>
        <v/>
      </c>
      <c r="Y45" s="38" t="str">
        <f aca="false">IF(G45="Monitor",ROW(),"")</f>
        <v/>
      </c>
      <c r="Z45" s="38" t="str">
        <f aca="false">IF(OR(J45="",N(J45)&lt;=0),"",K45+(1000-ROW())/100000)</f>
        <v/>
      </c>
    </row>
    <row r="46" customFormat="false" ht="19.5" hidden="false" customHeight="true" outlineLevel="0" collapsed="false">
      <c r="A46" s="14"/>
      <c r="B46" s="12"/>
      <c r="C46" s="12"/>
      <c r="D46" s="14"/>
      <c r="E46" s="14"/>
      <c r="F46" s="14"/>
      <c r="G46" s="36" t="str">
        <f aca="false">IF(A46="","",IF(AND(E46&gt;=$E$3,F46&gt;=$E$3),"Manage closely",IF(E46&gt;=$E$3,"Keep satisfied",IF(F46&gt;=$E$3,"Keep informed","Monitor"))))</f>
        <v/>
      </c>
      <c r="H46" s="14"/>
      <c r="I46" s="14"/>
      <c r="J46" s="37" t="str">
        <f aca="false">IF(OR(A46="",H46="",I46=""),"",IF(I46="Unaware",1,IF(I46="Resistant",2,IF(I46="Neutral",3,IF(I46="Supportive",4,IF(I46="Leading",5,0)))))-IF(H46="Unaware",1,IF(H46="Resistant",2,IF(H46="Neutral",3,IF(H46="Supportive",4,IF(H46="Leading",5,0))))))</f>
        <v/>
      </c>
      <c r="K46" s="37" t="str">
        <f aca="false">IF(J46="","",J46*E46)</f>
        <v/>
      </c>
      <c r="L46" s="12"/>
      <c r="M46" s="12"/>
      <c r="N46" s="12"/>
      <c r="O46" s="14"/>
      <c r="P46" s="12"/>
      <c r="Q46" s="12"/>
      <c r="R46" s="15"/>
      <c r="S46" s="12"/>
      <c r="T46" s="15"/>
      <c r="U46" s="36" t="str">
        <f aca="false">IF(OR(A46="",T46=""),"",IF(T46&lt;Cover!$C$7,"Overdue","No"))</f>
        <v/>
      </c>
      <c r="V46" s="38" t="str">
        <f aca="false">IF(G46="Manage closely",ROW(),"")</f>
        <v/>
      </c>
      <c r="W46" s="38" t="str">
        <f aca="false">IF(G46="Keep satisfied",ROW(),"")</f>
        <v/>
      </c>
      <c r="X46" s="38" t="str">
        <f aca="false">IF(G46="Keep informed",ROW(),"")</f>
        <v/>
      </c>
      <c r="Y46" s="38" t="str">
        <f aca="false">IF(G46="Monitor",ROW(),"")</f>
        <v/>
      </c>
      <c r="Z46" s="38" t="str">
        <f aca="false">IF(OR(J46="",N(J46)&lt;=0),"",K46+(1000-ROW())/100000)</f>
        <v/>
      </c>
    </row>
    <row r="47" customFormat="false" ht="19.5" hidden="false" customHeight="true" outlineLevel="0" collapsed="false">
      <c r="A47" s="14"/>
      <c r="B47" s="12"/>
      <c r="C47" s="12"/>
      <c r="D47" s="14"/>
      <c r="E47" s="14"/>
      <c r="F47" s="14"/>
      <c r="G47" s="36" t="str">
        <f aca="false">IF(A47="","",IF(AND(E47&gt;=$E$3,F47&gt;=$E$3),"Manage closely",IF(E47&gt;=$E$3,"Keep satisfied",IF(F47&gt;=$E$3,"Keep informed","Monitor"))))</f>
        <v/>
      </c>
      <c r="H47" s="14"/>
      <c r="I47" s="14"/>
      <c r="J47" s="37" t="str">
        <f aca="false">IF(OR(A47="",H47="",I47=""),"",IF(I47="Unaware",1,IF(I47="Resistant",2,IF(I47="Neutral",3,IF(I47="Supportive",4,IF(I47="Leading",5,0)))))-IF(H47="Unaware",1,IF(H47="Resistant",2,IF(H47="Neutral",3,IF(H47="Supportive",4,IF(H47="Leading",5,0))))))</f>
        <v/>
      </c>
      <c r="K47" s="37" t="str">
        <f aca="false">IF(J47="","",J47*E47)</f>
        <v/>
      </c>
      <c r="L47" s="12"/>
      <c r="M47" s="12"/>
      <c r="N47" s="12"/>
      <c r="O47" s="14"/>
      <c r="P47" s="12"/>
      <c r="Q47" s="12"/>
      <c r="R47" s="15"/>
      <c r="S47" s="12"/>
      <c r="T47" s="15"/>
      <c r="U47" s="36" t="str">
        <f aca="false">IF(OR(A47="",T47=""),"",IF(T47&lt;Cover!$C$7,"Overdue","No"))</f>
        <v/>
      </c>
      <c r="V47" s="38" t="str">
        <f aca="false">IF(G47="Manage closely",ROW(),"")</f>
        <v/>
      </c>
      <c r="W47" s="38" t="str">
        <f aca="false">IF(G47="Keep satisfied",ROW(),"")</f>
        <v/>
      </c>
      <c r="X47" s="38" t="str">
        <f aca="false">IF(G47="Keep informed",ROW(),"")</f>
        <v/>
      </c>
      <c r="Y47" s="38" t="str">
        <f aca="false">IF(G47="Monitor",ROW(),"")</f>
        <v/>
      </c>
      <c r="Z47" s="38" t="str">
        <f aca="false">IF(OR(J47="",N(J47)&lt;=0),"",K47+(1000-ROW())/100000)</f>
        <v/>
      </c>
    </row>
    <row r="48" customFormat="false" ht="19.5" hidden="false" customHeight="true" outlineLevel="0" collapsed="false">
      <c r="A48" s="14"/>
      <c r="B48" s="12"/>
      <c r="C48" s="12"/>
      <c r="D48" s="14"/>
      <c r="E48" s="14"/>
      <c r="F48" s="14"/>
      <c r="G48" s="36" t="str">
        <f aca="false">IF(A48="","",IF(AND(E48&gt;=$E$3,F48&gt;=$E$3),"Manage closely",IF(E48&gt;=$E$3,"Keep satisfied",IF(F48&gt;=$E$3,"Keep informed","Monitor"))))</f>
        <v/>
      </c>
      <c r="H48" s="14"/>
      <c r="I48" s="14"/>
      <c r="J48" s="37" t="str">
        <f aca="false">IF(OR(A48="",H48="",I48=""),"",IF(I48="Unaware",1,IF(I48="Resistant",2,IF(I48="Neutral",3,IF(I48="Supportive",4,IF(I48="Leading",5,0)))))-IF(H48="Unaware",1,IF(H48="Resistant",2,IF(H48="Neutral",3,IF(H48="Supportive",4,IF(H48="Leading",5,0))))))</f>
        <v/>
      </c>
      <c r="K48" s="37" t="str">
        <f aca="false">IF(J48="","",J48*E48)</f>
        <v/>
      </c>
      <c r="L48" s="12"/>
      <c r="M48" s="12"/>
      <c r="N48" s="12"/>
      <c r="O48" s="14"/>
      <c r="P48" s="12"/>
      <c r="Q48" s="12"/>
      <c r="R48" s="15"/>
      <c r="S48" s="12"/>
      <c r="T48" s="15"/>
      <c r="U48" s="36" t="str">
        <f aca="false">IF(OR(A48="",T48=""),"",IF(T48&lt;Cover!$C$7,"Overdue","No"))</f>
        <v/>
      </c>
      <c r="V48" s="38" t="str">
        <f aca="false">IF(G48="Manage closely",ROW(),"")</f>
        <v/>
      </c>
      <c r="W48" s="38" t="str">
        <f aca="false">IF(G48="Keep satisfied",ROW(),"")</f>
        <v/>
      </c>
      <c r="X48" s="38" t="str">
        <f aca="false">IF(G48="Keep informed",ROW(),"")</f>
        <v/>
      </c>
      <c r="Y48" s="38" t="str">
        <f aca="false">IF(G48="Monitor",ROW(),"")</f>
        <v/>
      </c>
      <c r="Z48" s="38" t="str">
        <f aca="false">IF(OR(J48="",N(J48)&lt;=0),"",K48+(1000-ROW())/100000)</f>
        <v/>
      </c>
    </row>
    <row r="49" customFormat="false" ht="19.5" hidden="false" customHeight="true" outlineLevel="0" collapsed="false">
      <c r="A49" s="14"/>
      <c r="B49" s="12"/>
      <c r="C49" s="12"/>
      <c r="D49" s="14"/>
      <c r="E49" s="14"/>
      <c r="F49" s="14"/>
      <c r="G49" s="36" t="str">
        <f aca="false">IF(A49="","",IF(AND(E49&gt;=$E$3,F49&gt;=$E$3),"Manage closely",IF(E49&gt;=$E$3,"Keep satisfied",IF(F49&gt;=$E$3,"Keep informed","Monitor"))))</f>
        <v/>
      </c>
      <c r="H49" s="14"/>
      <c r="I49" s="14"/>
      <c r="J49" s="37" t="str">
        <f aca="false">IF(OR(A49="",H49="",I49=""),"",IF(I49="Unaware",1,IF(I49="Resistant",2,IF(I49="Neutral",3,IF(I49="Supportive",4,IF(I49="Leading",5,0)))))-IF(H49="Unaware",1,IF(H49="Resistant",2,IF(H49="Neutral",3,IF(H49="Supportive",4,IF(H49="Leading",5,0))))))</f>
        <v/>
      </c>
      <c r="K49" s="37" t="str">
        <f aca="false">IF(J49="","",J49*E49)</f>
        <v/>
      </c>
      <c r="L49" s="12"/>
      <c r="M49" s="12"/>
      <c r="N49" s="12"/>
      <c r="O49" s="14"/>
      <c r="P49" s="12"/>
      <c r="Q49" s="12"/>
      <c r="R49" s="15"/>
      <c r="S49" s="12"/>
      <c r="T49" s="15"/>
      <c r="U49" s="36" t="str">
        <f aca="false">IF(OR(A49="",T49=""),"",IF(T49&lt;Cover!$C$7,"Overdue","No"))</f>
        <v/>
      </c>
      <c r="V49" s="38" t="str">
        <f aca="false">IF(G49="Manage closely",ROW(),"")</f>
        <v/>
      </c>
      <c r="W49" s="38" t="str">
        <f aca="false">IF(G49="Keep satisfied",ROW(),"")</f>
        <v/>
      </c>
      <c r="X49" s="38" t="str">
        <f aca="false">IF(G49="Keep informed",ROW(),"")</f>
        <v/>
      </c>
      <c r="Y49" s="38" t="str">
        <f aca="false">IF(G49="Monitor",ROW(),"")</f>
        <v/>
      </c>
      <c r="Z49" s="38" t="str">
        <f aca="false">IF(OR(J49="",N(J49)&lt;=0),"",K49+(1000-ROW())/100000)</f>
        <v/>
      </c>
    </row>
    <row r="50" customFormat="false" ht="19.5" hidden="false" customHeight="true" outlineLevel="0" collapsed="false">
      <c r="A50" s="14"/>
      <c r="B50" s="12"/>
      <c r="C50" s="12"/>
      <c r="D50" s="14"/>
      <c r="E50" s="14"/>
      <c r="F50" s="14"/>
      <c r="G50" s="36" t="str">
        <f aca="false">IF(A50="","",IF(AND(E50&gt;=$E$3,F50&gt;=$E$3),"Manage closely",IF(E50&gt;=$E$3,"Keep satisfied",IF(F50&gt;=$E$3,"Keep informed","Monitor"))))</f>
        <v/>
      </c>
      <c r="H50" s="14"/>
      <c r="I50" s="14"/>
      <c r="J50" s="37" t="str">
        <f aca="false">IF(OR(A50="",H50="",I50=""),"",IF(I50="Unaware",1,IF(I50="Resistant",2,IF(I50="Neutral",3,IF(I50="Supportive",4,IF(I50="Leading",5,0)))))-IF(H50="Unaware",1,IF(H50="Resistant",2,IF(H50="Neutral",3,IF(H50="Supportive",4,IF(H50="Leading",5,0))))))</f>
        <v/>
      </c>
      <c r="K50" s="37" t="str">
        <f aca="false">IF(J50="","",J50*E50)</f>
        <v/>
      </c>
      <c r="L50" s="12"/>
      <c r="M50" s="12"/>
      <c r="N50" s="12"/>
      <c r="O50" s="14"/>
      <c r="P50" s="12"/>
      <c r="Q50" s="12"/>
      <c r="R50" s="15"/>
      <c r="S50" s="12"/>
      <c r="T50" s="15"/>
      <c r="U50" s="36" t="str">
        <f aca="false">IF(OR(A50="",T50=""),"",IF(T50&lt;Cover!$C$7,"Overdue","No"))</f>
        <v/>
      </c>
      <c r="V50" s="38" t="str">
        <f aca="false">IF(G50="Manage closely",ROW(),"")</f>
        <v/>
      </c>
      <c r="W50" s="38" t="str">
        <f aca="false">IF(G50="Keep satisfied",ROW(),"")</f>
        <v/>
      </c>
      <c r="X50" s="38" t="str">
        <f aca="false">IF(G50="Keep informed",ROW(),"")</f>
        <v/>
      </c>
      <c r="Y50" s="38" t="str">
        <f aca="false">IF(G50="Monitor",ROW(),"")</f>
        <v/>
      </c>
      <c r="Z50" s="38" t="str">
        <f aca="false">IF(OR(J50="",N(J50)&lt;=0),"",K50+(1000-ROW())/100000)</f>
        <v/>
      </c>
    </row>
    <row r="51" customFormat="false" ht="19.5" hidden="false" customHeight="true" outlineLevel="0" collapsed="false">
      <c r="A51" s="14"/>
      <c r="B51" s="12"/>
      <c r="C51" s="12"/>
      <c r="D51" s="14"/>
      <c r="E51" s="14"/>
      <c r="F51" s="14"/>
      <c r="G51" s="36" t="str">
        <f aca="false">IF(A51="","",IF(AND(E51&gt;=$E$3,F51&gt;=$E$3),"Manage closely",IF(E51&gt;=$E$3,"Keep satisfied",IF(F51&gt;=$E$3,"Keep informed","Monitor"))))</f>
        <v/>
      </c>
      <c r="H51" s="14"/>
      <c r="I51" s="14"/>
      <c r="J51" s="37" t="str">
        <f aca="false">IF(OR(A51="",H51="",I51=""),"",IF(I51="Unaware",1,IF(I51="Resistant",2,IF(I51="Neutral",3,IF(I51="Supportive",4,IF(I51="Leading",5,0)))))-IF(H51="Unaware",1,IF(H51="Resistant",2,IF(H51="Neutral",3,IF(H51="Supportive",4,IF(H51="Leading",5,0))))))</f>
        <v/>
      </c>
      <c r="K51" s="37" t="str">
        <f aca="false">IF(J51="","",J51*E51)</f>
        <v/>
      </c>
      <c r="L51" s="12"/>
      <c r="M51" s="12"/>
      <c r="N51" s="12"/>
      <c r="O51" s="14"/>
      <c r="P51" s="12"/>
      <c r="Q51" s="12"/>
      <c r="R51" s="15"/>
      <c r="S51" s="12"/>
      <c r="T51" s="15"/>
      <c r="U51" s="36" t="str">
        <f aca="false">IF(OR(A51="",T51=""),"",IF(T51&lt;Cover!$C$7,"Overdue","No"))</f>
        <v/>
      </c>
      <c r="V51" s="38" t="str">
        <f aca="false">IF(G51="Manage closely",ROW(),"")</f>
        <v/>
      </c>
      <c r="W51" s="38" t="str">
        <f aca="false">IF(G51="Keep satisfied",ROW(),"")</f>
        <v/>
      </c>
      <c r="X51" s="38" t="str">
        <f aca="false">IF(G51="Keep informed",ROW(),"")</f>
        <v/>
      </c>
      <c r="Y51" s="38" t="str">
        <f aca="false">IF(G51="Monitor",ROW(),"")</f>
        <v/>
      </c>
      <c r="Z51" s="38" t="str">
        <f aca="false">IF(OR(J51="",N(J51)&lt;=0),"",K51+(1000-ROW())/100000)</f>
        <v/>
      </c>
    </row>
    <row r="52" customFormat="false" ht="19.5" hidden="false" customHeight="true" outlineLevel="0" collapsed="false">
      <c r="A52" s="14"/>
      <c r="B52" s="12"/>
      <c r="C52" s="12"/>
      <c r="D52" s="14"/>
      <c r="E52" s="14"/>
      <c r="F52" s="14"/>
      <c r="G52" s="36" t="str">
        <f aca="false">IF(A52="","",IF(AND(E52&gt;=$E$3,F52&gt;=$E$3),"Manage closely",IF(E52&gt;=$E$3,"Keep satisfied",IF(F52&gt;=$E$3,"Keep informed","Monitor"))))</f>
        <v/>
      </c>
      <c r="H52" s="14"/>
      <c r="I52" s="14"/>
      <c r="J52" s="37" t="str">
        <f aca="false">IF(OR(A52="",H52="",I52=""),"",IF(I52="Unaware",1,IF(I52="Resistant",2,IF(I52="Neutral",3,IF(I52="Supportive",4,IF(I52="Leading",5,0)))))-IF(H52="Unaware",1,IF(H52="Resistant",2,IF(H52="Neutral",3,IF(H52="Supportive",4,IF(H52="Leading",5,0))))))</f>
        <v/>
      </c>
      <c r="K52" s="37" t="str">
        <f aca="false">IF(J52="","",J52*E52)</f>
        <v/>
      </c>
      <c r="L52" s="12"/>
      <c r="M52" s="12"/>
      <c r="N52" s="12"/>
      <c r="O52" s="14"/>
      <c r="P52" s="12"/>
      <c r="Q52" s="12"/>
      <c r="R52" s="15"/>
      <c r="S52" s="12"/>
      <c r="T52" s="15"/>
      <c r="U52" s="36" t="str">
        <f aca="false">IF(OR(A52="",T52=""),"",IF(T52&lt;Cover!$C$7,"Overdue","No"))</f>
        <v/>
      </c>
      <c r="V52" s="38" t="str">
        <f aca="false">IF(G52="Manage closely",ROW(),"")</f>
        <v/>
      </c>
      <c r="W52" s="38" t="str">
        <f aca="false">IF(G52="Keep satisfied",ROW(),"")</f>
        <v/>
      </c>
      <c r="X52" s="38" t="str">
        <f aca="false">IF(G52="Keep informed",ROW(),"")</f>
        <v/>
      </c>
      <c r="Y52" s="38" t="str">
        <f aca="false">IF(G52="Monitor",ROW(),"")</f>
        <v/>
      </c>
      <c r="Z52" s="38" t="str">
        <f aca="false">IF(OR(J52="",N(J52)&lt;=0),"",K52+(1000-ROW())/100000)</f>
        <v/>
      </c>
    </row>
    <row r="53" customFormat="false" ht="19.5" hidden="false" customHeight="true" outlineLevel="0" collapsed="false">
      <c r="A53" s="14"/>
      <c r="B53" s="12"/>
      <c r="C53" s="12"/>
      <c r="D53" s="14"/>
      <c r="E53" s="14"/>
      <c r="F53" s="14"/>
      <c r="G53" s="36" t="str">
        <f aca="false">IF(A53="","",IF(AND(E53&gt;=$E$3,F53&gt;=$E$3),"Manage closely",IF(E53&gt;=$E$3,"Keep satisfied",IF(F53&gt;=$E$3,"Keep informed","Monitor"))))</f>
        <v/>
      </c>
      <c r="H53" s="14"/>
      <c r="I53" s="14"/>
      <c r="J53" s="37" t="str">
        <f aca="false">IF(OR(A53="",H53="",I53=""),"",IF(I53="Unaware",1,IF(I53="Resistant",2,IF(I53="Neutral",3,IF(I53="Supportive",4,IF(I53="Leading",5,0)))))-IF(H53="Unaware",1,IF(H53="Resistant",2,IF(H53="Neutral",3,IF(H53="Supportive",4,IF(H53="Leading",5,0))))))</f>
        <v/>
      </c>
      <c r="K53" s="37" t="str">
        <f aca="false">IF(J53="","",J53*E53)</f>
        <v/>
      </c>
      <c r="L53" s="12"/>
      <c r="M53" s="12"/>
      <c r="N53" s="12"/>
      <c r="O53" s="14"/>
      <c r="P53" s="12"/>
      <c r="Q53" s="12"/>
      <c r="R53" s="15"/>
      <c r="S53" s="12"/>
      <c r="T53" s="15"/>
      <c r="U53" s="36" t="str">
        <f aca="false">IF(OR(A53="",T53=""),"",IF(T53&lt;Cover!$C$7,"Overdue","No"))</f>
        <v/>
      </c>
      <c r="V53" s="38" t="str">
        <f aca="false">IF(G53="Manage closely",ROW(),"")</f>
        <v/>
      </c>
      <c r="W53" s="38" t="str">
        <f aca="false">IF(G53="Keep satisfied",ROW(),"")</f>
        <v/>
      </c>
      <c r="X53" s="38" t="str">
        <f aca="false">IF(G53="Keep informed",ROW(),"")</f>
        <v/>
      </c>
      <c r="Y53" s="38" t="str">
        <f aca="false">IF(G53="Monitor",ROW(),"")</f>
        <v/>
      </c>
      <c r="Z53" s="38" t="str">
        <f aca="false">IF(OR(J53="",N(J53)&lt;=0),"",K53+(1000-ROW())/100000)</f>
        <v/>
      </c>
    </row>
    <row r="54" customFormat="false" ht="19.5" hidden="false" customHeight="true" outlineLevel="0" collapsed="false">
      <c r="A54" s="14"/>
      <c r="B54" s="12"/>
      <c r="C54" s="12"/>
      <c r="D54" s="14"/>
      <c r="E54" s="14"/>
      <c r="F54" s="14"/>
      <c r="G54" s="36" t="str">
        <f aca="false">IF(A54="","",IF(AND(E54&gt;=$E$3,F54&gt;=$E$3),"Manage closely",IF(E54&gt;=$E$3,"Keep satisfied",IF(F54&gt;=$E$3,"Keep informed","Monitor"))))</f>
        <v/>
      </c>
      <c r="H54" s="14"/>
      <c r="I54" s="14"/>
      <c r="J54" s="37" t="str">
        <f aca="false">IF(OR(A54="",H54="",I54=""),"",IF(I54="Unaware",1,IF(I54="Resistant",2,IF(I54="Neutral",3,IF(I54="Supportive",4,IF(I54="Leading",5,0)))))-IF(H54="Unaware",1,IF(H54="Resistant",2,IF(H54="Neutral",3,IF(H54="Supportive",4,IF(H54="Leading",5,0))))))</f>
        <v/>
      </c>
      <c r="K54" s="37" t="str">
        <f aca="false">IF(J54="","",J54*E54)</f>
        <v/>
      </c>
      <c r="L54" s="12"/>
      <c r="M54" s="12"/>
      <c r="N54" s="12"/>
      <c r="O54" s="14"/>
      <c r="P54" s="12"/>
      <c r="Q54" s="12"/>
      <c r="R54" s="15"/>
      <c r="S54" s="12"/>
      <c r="T54" s="15"/>
      <c r="U54" s="36" t="str">
        <f aca="false">IF(OR(A54="",T54=""),"",IF(T54&lt;Cover!$C$7,"Overdue","No"))</f>
        <v/>
      </c>
      <c r="V54" s="38" t="str">
        <f aca="false">IF(G54="Manage closely",ROW(),"")</f>
        <v/>
      </c>
      <c r="W54" s="38" t="str">
        <f aca="false">IF(G54="Keep satisfied",ROW(),"")</f>
        <v/>
      </c>
      <c r="X54" s="38" t="str">
        <f aca="false">IF(G54="Keep informed",ROW(),"")</f>
        <v/>
      </c>
      <c r="Y54" s="38" t="str">
        <f aca="false">IF(G54="Monitor",ROW(),"")</f>
        <v/>
      </c>
      <c r="Z54" s="38" t="str">
        <f aca="false">IF(OR(J54="",N(J54)&lt;=0),"",K54+(1000-ROW())/100000)</f>
        <v/>
      </c>
    </row>
  </sheetData>
  <autoFilter ref="A4:U22"/>
  <conditionalFormatting sqref="G5:G54">
    <cfRule type="cellIs" priority="2" operator="equal" aboveAverage="0" equalAverage="0" bottom="0" percent="0" rank="0" text="" dxfId="0">
      <formula>"Manage closely"</formula>
    </cfRule>
    <cfRule type="cellIs" priority="3" operator="equal" aboveAverage="0" equalAverage="0" bottom="0" percent="0" rank="0" text="" dxfId="1">
      <formula>"Keep satisfied"</formula>
    </cfRule>
    <cfRule type="cellIs" priority="4" operator="equal" aboveAverage="0" equalAverage="0" bottom="0" percent="0" rank="0" text="" dxfId="19">
      <formula>"Keep informed"</formula>
    </cfRule>
    <cfRule type="cellIs" priority="5" operator="equal" aboveAverage="0" equalAverage="0" bottom="0" percent="0" rank="0" text="" dxfId="2">
      <formula>"Monitor"</formula>
    </cfRule>
  </conditionalFormatting>
  <conditionalFormatting sqref="H5:H54">
    <cfRule type="cellIs" priority="6" operator="equal" aboveAverage="0" equalAverage="0" bottom="0" percent="0" rank="0" text="" dxfId="0">
      <formula>"Resistant"</formula>
    </cfRule>
    <cfRule type="cellIs" priority="7" operator="equal" aboveAverage="0" equalAverage="0" bottom="0" percent="0" rank="0" text="" dxfId="1">
      <formula>"Unaware"</formula>
    </cfRule>
    <cfRule type="cellIs" priority="8" operator="equal" aboveAverage="0" equalAverage="0" bottom="0" percent="0" rank="0" text="" dxfId="2">
      <formula>"Neutral"</formula>
    </cfRule>
    <cfRule type="cellIs" priority="9" operator="equal" aboveAverage="0" equalAverage="0" bottom="0" percent="0" rank="0" text="" dxfId="20">
      <formula>"Supportive"</formula>
    </cfRule>
    <cfRule type="cellIs" priority="10" operator="equal" aboveAverage="0" equalAverage="0" bottom="0" percent="0" rank="0" text="" dxfId="20">
      <formula>"Leading"</formula>
    </cfRule>
  </conditionalFormatting>
  <conditionalFormatting sqref="J5:J54">
    <cfRule type="cellIs" priority="11" operator="greaterThanOrEqual" aboveAverage="0" equalAverage="0" bottom="0" percent="0" rank="0" text="" dxfId="0">
      <formula>2</formula>
    </cfRule>
    <cfRule type="cellIs" priority="12" operator="equal" aboveAverage="0" equalAverage="0" bottom="0" percent="0" rank="0" text="" dxfId="1">
      <formula>1</formula>
    </cfRule>
  </conditionalFormatting>
  <conditionalFormatting sqref="U5:U54">
    <cfRule type="cellIs" priority="13" operator="equal" aboveAverage="0" equalAverage="0" bottom="0" percent="0" rank="0" text="" dxfId="0">
      <formula>"Overdue"</formula>
    </cfRule>
  </conditionalFormatting>
  <dataValidations count="3">
    <dataValidation allowBlank="true" errorStyle="stop" operator="between" showDropDown="false" showErrorMessage="false" showInputMessage="false" sqref="D5:D54" type="list">
      <formula1>"Client,Vendor,External,Delivery partner"</formula1>
      <formula2>0</formula2>
    </dataValidation>
    <dataValidation allowBlank="true" errorStyle="stop" operator="between" showDropDown="false" showErrorMessage="false" showInputMessage="false" sqref="E5:F54" type="list">
      <formula1>"1,2,3,4,5"</formula1>
      <formula2>0</formula2>
    </dataValidation>
    <dataValidation allowBlank="true" errorStyle="stop" operator="between" showDropDown="false" showErrorMessage="false" showInputMessage="false" sqref="H5:I54" type="list">
      <formula1>"Unaware,Resistant,Neutral,Supportive,Leading"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13"/>
    <col collapsed="false" customWidth="true" hidden="false" outlineLevel="0" max="17" min="4" style="0" width="10"/>
    <col collapsed="false" customWidth="true" hidden="false" outlineLevel="0" max="19" min="18" style="0" width="7"/>
    <col collapsed="false" customWidth="true" hidden="false" outlineLevel="0" max="20" min="20" style="0" width="12"/>
  </cols>
  <sheetData>
    <row r="1" customFormat="false" ht="19.7" hidden="false" customHeight="false" outlineLevel="0" collapsed="false">
      <c r="A1" s="31" t="s">
        <v>353</v>
      </c>
    </row>
    <row r="2" customFormat="false" ht="15" hidden="false" customHeight="false" outlineLevel="0" collapsed="false">
      <c r="A2" s="17" t="s">
        <v>354</v>
      </c>
    </row>
    <row r="3" customFormat="false" ht="15" hidden="false" customHeight="false" outlineLevel="0" collapsed="false">
      <c r="A3" s="13" t="s">
        <v>355</v>
      </c>
    </row>
    <row r="4" customFormat="false" ht="57.75" hidden="false" customHeight="true" outlineLevel="0" collapsed="false">
      <c r="A4" s="34" t="s">
        <v>82</v>
      </c>
      <c r="B4" s="34" t="s">
        <v>356</v>
      </c>
      <c r="C4" s="34" t="s">
        <v>357</v>
      </c>
      <c r="D4" s="34" t="s">
        <v>158</v>
      </c>
      <c r="E4" s="34" t="s">
        <v>358</v>
      </c>
      <c r="F4" s="34" t="s">
        <v>161</v>
      </c>
      <c r="G4" s="34" t="s">
        <v>164</v>
      </c>
      <c r="H4" s="34" t="s">
        <v>167</v>
      </c>
      <c r="I4" s="34" t="s">
        <v>171</v>
      </c>
      <c r="J4" s="34" t="s">
        <v>228</v>
      </c>
      <c r="K4" s="34" t="s">
        <v>236</v>
      </c>
      <c r="L4" s="34" t="s">
        <v>251</v>
      </c>
      <c r="M4" s="34" t="s">
        <v>259</v>
      </c>
      <c r="N4" s="34" t="s">
        <v>266</v>
      </c>
      <c r="O4" s="34" t="s">
        <v>289</v>
      </c>
      <c r="P4" s="34" t="s">
        <v>305</v>
      </c>
      <c r="Q4" s="34" t="s">
        <v>359</v>
      </c>
      <c r="R4" s="35" t="s">
        <v>360</v>
      </c>
      <c r="S4" s="35" t="s">
        <v>361</v>
      </c>
      <c r="T4" s="35" t="s">
        <v>362</v>
      </c>
    </row>
    <row r="5" customFormat="false" ht="30" hidden="false" customHeight="true" outlineLevel="0" collapsed="false">
      <c r="A5" s="39" t="s">
        <v>363</v>
      </c>
      <c r="B5" s="12" t="s">
        <v>364</v>
      </c>
      <c r="C5" s="14" t="s">
        <v>365</v>
      </c>
      <c r="D5" s="14" t="s">
        <v>366</v>
      </c>
      <c r="E5" s="14" t="s">
        <v>367</v>
      </c>
      <c r="F5" s="14" t="s">
        <v>368</v>
      </c>
      <c r="G5" s="14" t="s">
        <v>369</v>
      </c>
      <c r="H5" s="14" t="s">
        <v>368</v>
      </c>
      <c r="I5" s="14" t="s">
        <v>368</v>
      </c>
      <c r="J5" s="14" t="s">
        <v>368</v>
      </c>
      <c r="K5" s="14" t="s">
        <v>368</v>
      </c>
      <c r="L5" s="14" t="s">
        <v>368</v>
      </c>
      <c r="M5" s="14"/>
      <c r="N5" s="14"/>
      <c r="O5" s="14"/>
      <c r="P5" s="14" t="s">
        <v>368</v>
      </c>
      <c r="Q5" s="14"/>
      <c r="R5" s="37" t="n">
        <f aca="false">IF(A5="","",COUNTIF(D5:Q5,"*A*"))</f>
        <v>1</v>
      </c>
      <c r="S5" s="37" t="n">
        <f aca="false">IF(A5="","",COUNTIF(D5:Q5,"*R*"))</f>
        <v>1</v>
      </c>
      <c r="T5" s="36" t="str">
        <f aca="false">IF(A5="","",IF(R5&lt;&gt;1,"Needs one A",IF(S5&lt;1,"Needs an R","OK")))</f>
        <v>OK</v>
      </c>
    </row>
    <row r="6" customFormat="false" ht="30" hidden="false" customHeight="true" outlineLevel="0" collapsed="false">
      <c r="A6" s="39" t="s">
        <v>370</v>
      </c>
      <c r="B6" s="12" t="s">
        <v>371</v>
      </c>
      <c r="C6" s="14" t="s">
        <v>365</v>
      </c>
      <c r="D6" s="14" t="s">
        <v>368</v>
      </c>
      <c r="E6" s="14"/>
      <c r="F6" s="14"/>
      <c r="G6" s="14" t="s">
        <v>50</v>
      </c>
      <c r="H6" s="14" t="s">
        <v>367</v>
      </c>
      <c r="I6" s="14" t="s">
        <v>368</v>
      </c>
      <c r="J6" s="14" t="s">
        <v>368</v>
      </c>
      <c r="K6" s="14"/>
      <c r="L6" s="14"/>
      <c r="M6" s="14"/>
      <c r="N6" s="14"/>
      <c r="O6" s="14"/>
      <c r="P6" s="14"/>
      <c r="Q6" s="14"/>
      <c r="R6" s="37" t="n">
        <f aca="false">IF(A6="","",COUNTIF(D6:Q6,"*A*"))</f>
        <v>1</v>
      </c>
      <c r="S6" s="37" t="n">
        <f aca="false">IF(A6="","",COUNTIF(D6:Q6,"*R*"))</f>
        <v>1</v>
      </c>
      <c r="T6" s="36" t="str">
        <f aca="false">IF(A6="","",IF(R6&lt;&gt;1,"Needs one A",IF(S6&lt;1,"Needs an R","OK")))</f>
        <v>OK</v>
      </c>
    </row>
    <row r="7" customFormat="false" ht="30" hidden="false" customHeight="true" outlineLevel="0" collapsed="false">
      <c r="A7" s="39" t="s">
        <v>372</v>
      </c>
      <c r="B7" s="12" t="s">
        <v>373</v>
      </c>
      <c r="C7" s="14" t="s">
        <v>374</v>
      </c>
      <c r="D7" s="14" t="s">
        <v>367</v>
      </c>
      <c r="E7" s="14"/>
      <c r="F7" s="14"/>
      <c r="G7" s="14" t="s">
        <v>50</v>
      </c>
      <c r="H7" s="14" t="s">
        <v>367</v>
      </c>
      <c r="I7" s="14" t="s">
        <v>368</v>
      </c>
      <c r="J7" s="14"/>
      <c r="K7" s="14"/>
      <c r="L7" s="14"/>
      <c r="M7" s="14"/>
      <c r="N7" s="14"/>
      <c r="O7" s="14"/>
      <c r="P7" s="14"/>
      <c r="Q7" s="14"/>
      <c r="R7" s="37" t="n">
        <f aca="false">IF(A7="","",COUNTIF(D7:Q7,"*A*"))</f>
        <v>1</v>
      </c>
      <c r="S7" s="37" t="n">
        <f aca="false">IF(A7="","",COUNTIF(D7:Q7,"*R*"))</f>
        <v>1</v>
      </c>
      <c r="T7" s="36" t="str">
        <f aca="false">IF(A7="","",IF(R7&lt;&gt;1,"Needs one A",IF(S7&lt;1,"Needs an R","OK")))</f>
        <v>OK</v>
      </c>
    </row>
    <row r="8" customFormat="false" ht="30" hidden="false" customHeight="true" outlineLevel="0" collapsed="false">
      <c r="A8" s="39" t="s">
        <v>375</v>
      </c>
      <c r="B8" s="12" t="s">
        <v>376</v>
      </c>
      <c r="C8" s="14" t="s">
        <v>374</v>
      </c>
      <c r="D8" s="14" t="s">
        <v>366</v>
      </c>
      <c r="E8" s="14" t="s">
        <v>367</v>
      </c>
      <c r="F8" s="14"/>
      <c r="G8" s="14" t="s">
        <v>369</v>
      </c>
      <c r="H8" s="14" t="s">
        <v>368</v>
      </c>
      <c r="I8" s="14" t="s">
        <v>368</v>
      </c>
      <c r="J8" s="14"/>
      <c r="K8" s="14" t="s">
        <v>368</v>
      </c>
      <c r="L8" s="14"/>
      <c r="M8" s="14"/>
      <c r="N8" s="14"/>
      <c r="O8" s="14"/>
      <c r="P8" s="14"/>
      <c r="Q8" s="14"/>
      <c r="R8" s="37" t="n">
        <f aca="false">IF(A8="","",COUNTIF(D8:Q8,"*A*"))</f>
        <v>1</v>
      </c>
      <c r="S8" s="37" t="n">
        <f aca="false">IF(A8="","",COUNTIF(D8:Q8,"*R*"))</f>
        <v>1</v>
      </c>
      <c r="T8" s="36" t="str">
        <f aca="false">IF(A8="","",IF(R8&lt;&gt;1,"Needs one A",IF(S8&lt;1,"Needs an R","OK")))</f>
        <v>OK</v>
      </c>
    </row>
    <row r="9" customFormat="false" ht="30" hidden="false" customHeight="true" outlineLevel="0" collapsed="false">
      <c r="A9" s="39" t="s">
        <v>377</v>
      </c>
      <c r="B9" s="12" t="s">
        <v>378</v>
      </c>
      <c r="C9" s="14" t="s">
        <v>374</v>
      </c>
      <c r="D9" s="14" t="s">
        <v>368</v>
      </c>
      <c r="E9" s="14" t="s">
        <v>366</v>
      </c>
      <c r="F9" s="14" t="s">
        <v>368</v>
      </c>
      <c r="G9" s="14" t="s">
        <v>369</v>
      </c>
      <c r="H9" s="14" t="s">
        <v>368</v>
      </c>
      <c r="I9" s="14" t="s">
        <v>368</v>
      </c>
      <c r="J9" s="14"/>
      <c r="K9" s="14" t="s">
        <v>368</v>
      </c>
      <c r="L9" s="14" t="s">
        <v>368</v>
      </c>
      <c r="M9" s="14"/>
      <c r="N9" s="14"/>
      <c r="O9" s="14"/>
      <c r="P9" s="14"/>
      <c r="Q9" s="14"/>
      <c r="R9" s="37" t="n">
        <f aca="false">IF(A9="","",COUNTIF(D9:Q9,"*A*"))</f>
        <v>1</v>
      </c>
      <c r="S9" s="37" t="n">
        <f aca="false">IF(A9="","",COUNTIF(D9:Q9,"*R*"))</f>
        <v>1</v>
      </c>
      <c r="T9" s="36" t="str">
        <f aca="false">IF(A9="","",IF(R9&lt;&gt;1,"Needs one A",IF(S9&lt;1,"Needs an R","OK")))</f>
        <v>OK</v>
      </c>
    </row>
    <row r="10" customFormat="false" ht="30" hidden="false" customHeight="true" outlineLevel="0" collapsed="false">
      <c r="A10" s="39" t="s">
        <v>379</v>
      </c>
      <c r="B10" s="12" t="s">
        <v>380</v>
      </c>
      <c r="C10" s="14" t="s">
        <v>381</v>
      </c>
      <c r="D10" s="14" t="s">
        <v>367</v>
      </c>
      <c r="E10" s="14" t="s">
        <v>367</v>
      </c>
      <c r="F10" s="14" t="s">
        <v>368</v>
      </c>
      <c r="G10" s="14" t="s">
        <v>369</v>
      </c>
      <c r="H10" s="14" t="s">
        <v>366</v>
      </c>
      <c r="I10" s="14" t="s">
        <v>369</v>
      </c>
      <c r="J10" s="14"/>
      <c r="K10" s="14"/>
      <c r="L10" s="14"/>
      <c r="M10" s="14"/>
      <c r="N10" s="14"/>
      <c r="O10" s="14"/>
      <c r="P10" s="14"/>
      <c r="Q10" s="14"/>
      <c r="R10" s="37" t="n">
        <f aca="false">IF(A10="","",COUNTIF(D10:Q10,"*A*"))</f>
        <v>1</v>
      </c>
      <c r="S10" s="37" t="n">
        <f aca="false">IF(A10="","",COUNTIF(D10:Q10,"*R*"))</f>
        <v>2</v>
      </c>
      <c r="T10" s="36" t="str">
        <f aca="false">IF(A10="","",IF(R10&lt;&gt;1,"Needs one A",IF(S10&lt;1,"Needs an R","OK")))</f>
        <v>OK</v>
      </c>
    </row>
    <row r="11" customFormat="false" ht="30" hidden="false" customHeight="true" outlineLevel="0" collapsed="false">
      <c r="A11" s="39" t="s">
        <v>382</v>
      </c>
      <c r="B11" s="12" t="s">
        <v>383</v>
      </c>
      <c r="C11" s="14" t="s">
        <v>252</v>
      </c>
      <c r="D11" s="14"/>
      <c r="E11" s="14"/>
      <c r="F11" s="14"/>
      <c r="G11" s="14" t="s">
        <v>369</v>
      </c>
      <c r="H11" s="14"/>
      <c r="I11" s="14" t="s">
        <v>369</v>
      </c>
      <c r="J11" s="14"/>
      <c r="K11" s="14"/>
      <c r="L11" s="14" t="s">
        <v>366</v>
      </c>
      <c r="M11" s="14" t="s">
        <v>368</v>
      </c>
      <c r="N11" s="14" t="s">
        <v>368</v>
      </c>
      <c r="O11" s="14" t="s">
        <v>368</v>
      </c>
      <c r="P11" s="14"/>
      <c r="Q11" s="14"/>
      <c r="R11" s="37" t="n">
        <f aca="false">IF(A11="","",COUNTIF(D11:Q11,"*A*"))</f>
        <v>1</v>
      </c>
      <c r="S11" s="37" t="n">
        <f aca="false">IF(A11="","",COUNTIF(D11:Q11,"*R*"))</f>
        <v>2</v>
      </c>
      <c r="T11" s="36" t="str">
        <f aca="false">IF(A11="","",IF(R11&lt;&gt;1,"Needs one A",IF(S11&lt;1,"Needs an R","OK")))</f>
        <v>OK</v>
      </c>
    </row>
    <row r="12" customFormat="false" ht="30" hidden="false" customHeight="true" outlineLevel="0" collapsed="false">
      <c r="A12" s="39" t="s">
        <v>384</v>
      </c>
      <c r="B12" s="12" t="s">
        <v>385</v>
      </c>
      <c r="C12" s="14" t="s">
        <v>252</v>
      </c>
      <c r="D12" s="14"/>
      <c r="E12" s="14" t="s">
        <v>367</v>
      </c>
      <c r="F12" s="14"/>
      <c r="G12" s="14" t="s">
        <v>367</v>
      </c>
      <c r="H12" s="14" t="s">
        <v>367</v>
      </c>
      <c r="I12" s="14" t="s">
        <v>369</v>
      </c>
      <c r="J12" s="14"/>
      <c r="K12" s="14"/>
      <c r="L12" s="14" t="s">
        <v>368</v>
      </c>
      <c r="M12" s="14" t="s">
        <v>366</v>
      </c>
      <c r="N12" s="14"/>
      <c r="O12" s="14"/>
      <c r="P12" s="14"/>
      <c r="Q12" s="14"/>
      <c r="R12" s="37" t="n">
        <f aca="false">IF(A12="","",COUNTIF(D12:Q12,"*A*"))</f>
        <v>1</v>
      </c>
      <c r="S12" s="37" t="n">
        <f aca="false">IF(A12="","",COUNTIF(D12:Q12,"*R*"))</f>
        <v>1</v>
      </c>
      <c r="T12" s="36" t="str">
        <f aca="false">IF(A12="","",IF(R12&lt;&gt;1,"Needs one A",IF(S12&lt;1,"Needs an R","OK")))</f>
        <v>OK</v>
      </c>
    </row>
    <row r="13" customFormat="false" ht="30" hidden="false" customHeight="true" outlineLevel="0" collapsed="false">
      <c r="A13" s="39" t="s">
        <v>386</v>
      </c>
      <c r="B13" s="12" t="s">
        <v>387</v>
      </c>
      <c r="C13" s="14" t="s">
        <v>388</v>
      </c>
      <c r="D13" s="14"/>
      <c r="E13" s="14"/>
      <c r="F13" s="14"/>
      <c r="G13" s="14" t="s">
        <v>369</v>
      </c>
      <c r="H13" s="14"/>
      <c r="I13" s="14" t="s">
        <v>368</v>
      </c>
      <c r="J13" s="14"/>
      <c r="K13" s="14"/>
      <c r="L13" s="14" t="s">
        <v>368</v>
      </c>
      <c r="M13" s="14"/>
      <c r="N13" s="14"/>
      <c r="O13" s="14" t="s">
        <v>366</v>
      </c>
      <c r="P13" s="14"/>
      <c r="Q13" s="14"/>
      <c r="R13" s="37" t="n">
        <f aca="false">IF(A13="","",COUNTIF(D13:Q13,"*A*"))</f>
        <v>1</v>
      </c>
      <c r="S13" s="37" t="n">
        <f aca="false">IF(A13="","",COUNTIF(D13:Q13,"*R*"))</f>
        <v>1</v>
      </c>
      <c r="T13" s="36" t="str">
        <f aca="false">IF(A13="","",IF(R13&lt;&gt;1,"Needs one A",IF(S13&lt;1,"Needs an R","OK")))</f>
        <v>OK</v>
      </c>
    </row>
    <row r="14" customFormat="false" ht="30" hidden="false" customHeight="true" outlineLevel="0" collapsed="false">
      <c r="A14" s="39" t="s">
        <v>389</v>
      </c>
      <c r="B14" s="12" t="s">
        <v>390</v>
      </c>
      <c r="C14" s="14" t="s">
        <v>388</v>
      </c>
      <c r="D14" s="14" t="s">
        <v>366</v>
      </c>
      <c r="E14" s="14" t="s">
        <v>367</v>
      </c>
      <c r="F14" s="14"/>
      <c r="G14" s="14" t="s">
        <v>369</v>
      </c>
      <c r="H14" s="14"/>
      <c r="I14" s="14"/>
      <c r="J14" s="14" t="s">
        <v>368</v>
      </c>
      <c r="K14" s="14" t="s">
        <v>368</v>
      </c>
      <c r="L14" s="14"/>
      <c r="M14" s="14"/>
      <c r="N14" s="14"/>
      <c r="O14" s="14" t="s">
        <v>368</v>
      </c>
      <c r="P14" s="14"/>
      <c r="Q14" s="14"/>
      <c r="R14" s="37" t="n">
        <f aca="false">IF(A14="","",COUNTIF(D14:Q14,"*A*"))</f>
        <v>1</v>
      </c>
      <c r="S14" s="37" t="n">
        <f aca="false">IF(A14="","",COUNTIF(D14:Q14,"*R*"))</f>
        <v>1</v>
      </c>
      <c r="T14" s="36" t="str">
        <f aca="false">IF(A14="","",IF(R14&lt;&gt;1,"Needs one A",IF(S14&lt;1,"Needs an R","OK")))</f>
        <v>OK</v>
      </c>
    </row>
    <row r="15" customFormat="false" ht="30" hidden="false" customHeight="true" outlineLevel="0" collapsed="false">
      <c r="A15" s="39" t="s">
        <v>391</v>
      </c>
      <c r="B15" s="12" t="s">
        <v>392</v>
      </c>
      <c r="C15" s="14" t="s">
        <v>393</v>
      </c>
      <c r="D15" s="14"/>
      <c r="E15" s="14"/>
      <c r="F15" s="14"/>
      <c r="G15" s="14" t="s">
        <v>366</v>
      </c>
      <c r="H15" s="14" t="s">
        <v>368</v>
      </c>
      <c r="I15" s="14" t="s">
        <v>368</v>
      </c>
      <c r="J15" s="14" t="s">
        <v>369</v>
      </c>
      <c r="K15" s="14" t="s">
        <v>369</v>
      </c>
      <c r="L15" s="14"/>
      <c r="M15" s="14"/>
      <c r="N15" s="14"/>
      <c r="O15" s="14"/>
      <c r="P15" s="14"/>
      <c r="Q15" s="14" t="s">
        <v>368</v>
      </c>
      <c r="R15" s="37" t="n">
        <f aca="false">IF(A15="","",COUNTIF(D15:Q15,"*A*"))</f>
        <v>1</v>
      </c>
      <c r="S15" s="37" t="n">
        <f aca="false">IF(A15="","",COUNTIF(D15:Q15,"*R*"))</f>
        <v>2</v>
      </c>
      <c r="T15" s="36" t="str">
        <f aca="false">IF(A15="","",IF(R15&lt;&gt;1,"Needs one A",IF(S15&lt;1,"Needs an R","OK")))</f>
        <v>OK</v>
      </c>
    </row>
    <row r="16" customFormat="false" ht="30" hidden="false" customHeight="true" outlineLevel="0" collapsed="false">
      <c r="A16" s="39" t="s">
        <v>394</v>
      </c>
      <c r="B16" s="12" t="s">
        <v>395</v>
      </c>
      <c r="C16" s="14" t="s">
        <v>393</v>
      </c>
      <c r="D16" s="14" t="s">
        <v>366</v>
      </c>
      <c r="E16" s="14"/>
      <c r="F16" s="14"/>
      <c r="G16" s="14" t="s">
        <v>369</v>
      </c>
      <c r="H16" s="14" t="s">
        <v>367</v>
      </c>
      <c r="I16" s="14"/>
      <c r="J16" s="14" t="s">
        <v>369</v>
      </c>
      <c r="K16" s="14" t="s">
        <v>369</v>
      </c>
      <c r="L16" s="14" t="s">
        <v>368</v>
      </c>
      <c r="M16" s="14"/>
      <c r="N16" s="14"/>
      <c r="O16" s="14"/>
      <c r="P16" s="14"/>
      <c r="Q16" s="14"/>
      <c r="R16" s="37" t="n">
        <f aca="false">IF(A16="","",COUNTIF(D16:Q16,"*A*"))</f>
        <v>1</v>
      </c>
      <c r="S16" s="37" t="n">
        <f aca="false">IF(A16="","",COUNTIF(D16:Q16,"*R*"))</f>
        <v>3</v>
      </c>
      <c r="T16" s="36" t="str">
        <f aca="false">IF(A16="","",IF(R16&lt;&gt;1,"Needs one A",IF(S16&lt;1,"Needs an R","OK")))</f>
        <v>OK</v>
      </c>
    </row>
    <row r="17" customFormat="false" ht="30" hidden="false" customHeight="true" outlineLevel="0" collapsed="false">
      <c r="A17" s="39" t="s">
        <v>396</v>
      </c>
      <c r="B17" s="12" t="s">
        <v>397</v>
      </c>
      <c r="C17" s="14" t="s">
        <v>398</v>
      </c>
      <c r="D17" s="14" t="s">
        <v>369</v>
      </c>
      <c r="E17" s="14" t="s">
        <v>366</v>
      </c>
      <c r="F17" s="14" t="s">
        <v>368</v>
      </c>
      <c r="G17" s="14" t="s">
        <v>369</v>
      </c>
      <c r="H17" s="14" t="s">
        <v>369</v>
      </c>
      <c r="I17" s="14" t="s">
        <v>368</v>
      </c>
      <c r="J17" s="14" t="s">
        <v>368</v>
      </c>
      <c r="K17" s="14"/>
      <c r="L17" s="14" t="s">
        <v>368</v>
      </c>
      <c r="M17" s="14" t="s">
        <v>368</v>
      </c>
      <c r="N17" s="14"/>
      <c r="O17" s="14"/>
      <c r="P17" s="14" t="s">
        <v>368</v>
      </c>
      <c r="Q17" s="14"/>
      <c r="R17" s="37" t="n">
        <f aca="false">IF(A17="","",COUNTIF(D17:Q17,"*A*"))</f>
        <v>1</v>
      </c>
      <c r="S17" s="37" t="n">
        <f aca="false">IF(A17="","",COUNTIF(D17:Q17,"*R*"))</f>
        <v>3</v>
      </c>
      <c r="T17" s="36" t="str">
        <f aca="false">IF(A17="","",IF(R17&lt;&gt;1,"Needs one A",IF(S17&lt;1,"Needs an R","OK")))</f>
        <v>OK</v>
      </c>
    </row>
    <row r="18" customFormat="false" ht="30" hidden="false" customHeight="true" outlineLevel="0" collapsed="false">
      <c r="A18" s="39" t="s">
        <v>399</v>
      </c>
      <c r="B18" s="12" t="s">
        <v>400</v>
      </c>
      <c r="C18" s="14" t="s">
        <v>398</v>
      </c>
      <c r="D18" s="14" t="s">
        <v>367</v>
      </c>
      <c r="E18" s="14"/>
      <c r="F18" s="14"/>
      <c r="G18" s="14" t="s">
        <v>368</v>
      </c>
      <c r="H18" s="14"/>
      <c r="I18" s="14"/>
      <c r="J18" s="14"/>
      <c r="K18" s="14"/>
      <c r="L18" s="14" t="s">
        <v>368</v>
      </c>
      <c r="M18" s="14"/>
      <c r="N18" s="14" t="s">
        <v>368</v>
      </c>
      <c r="O18" s="14"/>
      <c r="P18" s="14" t="s">
        <v>50</v>
      </c>
      <c r="Q18" s="14"/>
      <c r="R18" s="37" t="n">
        <f aca="false">IF(A18="","",COUNTIF(D18:Q18,"*A*"))</f>
        <v>1</v>
      </c>
      <c r="S18" s="37" t="n">
        <f aca="false">IF(A18="","",COUNTIF(D18:Q18,"*R*"))</f>
        <v>1</v>
      </c>
      <c r="T18" s="36" t="str">
        <f aca="false">IF(A18="","",IF(R18&lt;&gt;1,"Needs one A",IF(S18&lt;1,"Needs an R","OK")))</f>
        <v>OK</v>
      </c>
    </row>
    <row r="19" customFormat="false" ht="30" hidden="false" customHeight="true" outlineLevel="0" collapsed="false">
      <c r="A19" s="39" t="s">
        <v>401</v>
      </c>
      <c r="B19" s="12" t="s">
        <v>402</v>
      </c>
      <c r="C19" s="14" t="s">
        <v>398</v>
      </c>
      <c r="D19" s="14"/>
      <c r="E19" s="14"/>
      <c r="F19" s="14"/>
      <c r="G19" s="14" t="s">
        <v>368</v>
      </c>
      <c r="H19" s="14" t="s">
        <v>367</v>
      </c>
      <c r="I19" s="14"/>
      <c r="J19" s="14" t="s">
        <v>368</v>
      </c>
      <c r="K19" s="14"/>
      <c r="L19" s="14"/>
      <c r="M19" s="14"/>
      <c r="N19" s="14"/>
      <c r="O19" s="14"/>
      <c r="P19" s="14"/>
      <c r="Q19" s="14" t="s">
        <v>50</v>
      </c>
      <c r="R19" s="37" t="n">
        <f aca="false">IF(A19="","",COUNTIF(D19:Q19,"*A*"))</f>
        <v>1</v>
      </c>
      <c r="S19" s="37" t="n">
        <f aca="false">IF(A19="","",COUNTIF(D19:Q19,"*R*"))</f>
        <v>1</v>
      </c>
      <c r="T19" s="36" t="str">
        <f aca="false">IF(A19="","",IF(R19&lt;&gt;1,"Needs one A",IF(S19&lt;1,"Needs an R","OK")))</f>
        <v>OK</v>
      </c>
    </row>
    <row r="20" customFormat="false" ht="30" hidden="false" customHeight="true" outlineLevel="0" collapsed="false">
      <c r="A20" s="39" t="s">
        <v>403</v>
      </c>
      <c r="B20" s="12" t="s">
        <v>404</v>
      </c>
      <c r="C20" s="14" t="s">
        <v>405</v>
      </c>
      <c r="D20" s="14" t="s">
        <v>366</v>
      </c>
      <c r="E20" s="14" t="s">
        <v>367</v>
      </c>
      <c r="F20" s="14" t="s">
        <v>368</v>
      </c>
      <c r="G20" s="14" t="s">
        <v>369</v>
      </c>
      <c r="H20" s="14"/>
      <c r="I20" s="14"/>
      <c r="J20" s="14" t="s">
        <v>368</v>
      </c>
      <c r="K20" s="14" t="s">
        <v>368</v>
      </c>
      <c r="L20" s="14"/>
      <c r="M20" s="14"/>
      <c r="N20" s="14"/>
      <c r="O20" s="14"/>
      <c r="P20" s="14"/>
      <c r="Q20" s="14"/>
      <c r="R20" s="37" t="n">
        <f aca="false">IF(A20="","",COUNTIF(D20:Q20,"*A*"))</f>
        <v>1</v>
      </c>
      <c r="S20" s="37" t="n">
        <f aca="false">IF(A20="","",COUNTIF(D20:Q20,"*R*"))</f>
        <v>1</v>
      </c>
      <c r="T20" s="36" t="str">
        <f aca="false">IF(A20="","",IF(R20&lt;&gt;1,"Needs one A",IF(S20&lt;1,"Needs an R","OK")))</f>
        <v>OK</v>
      </c>
    </row>
    <row r="21" customFormat="false" ht="30" hidden="false" customHeight="true" outlineLevel="0" collapsed="false">
      <c r="A21" s="39" t="s">
        <v>406</v>
      </c>
      <c r="B21" s="12" t="s">
        <v>407</v>
      </c>
      <c r="C21" s="14" t="s">
        <v>381</v>
      </c>
      <c r="D21" s="14" t="s">
        <v>367</v>
      </c>
      <c r="E21" s="14" t="s">
        <v>367</v>
      </c>
      <c r="F21" s="14" t="s">
        <v>368</v>
      </c>
      <c r="G21" s="14" t="s">
        <v>368</v>
      </c>
      <c r="H21" s="14" t="s">
        <v>50</v>
      </c>
      <c r="I21" s="14"/>
      <c r="J21" s="14"/>
      <c r="K21" s="14"/>
      <c r="L21" s="14"/>
      <c r="M21" s="14"/>
      <c r="N21" s="14"/>
      <c r="O21" s="14"/>
      <c r="P21" s="14"/>
      <c r="Q21" s="14"/>
      <c r="R21" s="37" t="n">
        <f aca="false">IF(A21="","",COUNTIF(D21:Q21,"*A*"))</f>
        <v>1</v>
      </c>
      <c r="S21" s="37" t="n">
        <f aca="false">IF(A21="","",COUNTIF(D21:Q21,"*R*"))</f>
        <v>1</v>
      </c>
      <c r="T21" s="36" t="str">
        <f aca="false">IF(A21="","",IF(R21&lt;&gt;1,"Needs one A",IF(S21&lt;1,"Needs an R","OK")))</f>
        <v>OK</v>
      </c>
    </row>
    <row r="22" customFormat="false" ht="30" hidden="false" customHeight="true" outlineLevel="0" collapsed="false">
      <c r="A22" s="39" t="s">
        <v>408</v>
      </c>
      <c r="B22" s="12" t="s">
        <v>409</v>
      </c>
      <c r="C22" s="14" t="s">
        <v>381</v>
      </c>
      <c r="D22" s="14" t="s">
        <v>366</v>
      </c>
      <c r="E22" s="14"/>
      <c r="F22" s="14" t="s">
        <v>368</v>
      </c>
      <c r="G22" s="14" t="s">
        <v>367</v>
      </c>
      <c r="H22" s="14" t="s">
        <v>369</v>
      </c>
      <c r="I22" s="14" t="s">
        <v>369</v>
      </c>
      <c r="J22" s="14"/>
      <c r="K22" s="14"/>
      <c r="L22" s="14"/>
      <c r="M22" s="14"/>
      <c r="N22" s="14"/>
      <c r="O22" s="14"/>
      <c r="P22" s="14"/>
      <c r="Q22" s="14"/>
      <c r="R22" s="37" t="n">
        <f aca="false">IF(A22="","",COUNTIF(D22:Q22,"*A*"))</f>
        <v>1</v>
      </c>
      <c r="S22" s="37" t="n">
        <f aca="false">IF(A22="","",COUNTIF(D22:Q22,"*R*"))</f>
        <v>2</v>
      </c>
      <c r="T22" s="36" t="str">
        <f aca="false">IF(A22="","",IF(R22&lt;&gt;1,"Needs one A",IF(S22&lt;1,"Needs an R","OK")))</f>
        <v>OK</v>
      </c>
    </row>
    <row r="23" customFormat="false" ht="19.5" hidden="false" customHeight="true" outlineLevel="0" collapsed="false">
      <c r="A23" s="14"/>
      <c r="B23" s="12"/>
      <c r="C23" s="14"/>
      <c r="D23" s="14"/>
      <c r="E23" s="14"/>
      <c r="F23" s="14"/>
      <c r="G23" s="14"/>
      <c r="H23" s="14"/>
      <c r="I23" s="14"/>
      <c r="J23" s="14"/>
      <c r="K23" s="14"/>
      <c r="L23" s="14"/>
      <c r="M23" s="14"/>
      <c r="N23" s="14"/>
      <c r="O23" s="14"/>
      <c r="P23" s="14"/>
      <c r="Q23" s="14"/>
      <c r="R23" s="37" t="str">
        <f aca="false">IF(A23="","",COUNTIF(D23:Q23,"*A*"))</f>
        <v/>
      </c>
      <c r="S23" s="37" t="str">
        <f aca="false">IF(A23="","",COUNTIF(D23:Q23,"*R*"))</f>
        <v/>
      </c>
      <c r="T23" s="36" t="str">
        <f aca="false">IF(A23="","",IF(R23&lt;&gt;1,"Needs one A",IF(S23&lt;1,"Needs an R","OK")))</f>
        <v/>
      </c>
    </row>
    <row r="24" customFormat="false" ht="19.5" hidden="false" customHeight="true" outlineLevel="0" collapsed="false">
      <c r="A24" s="14"/>
      <c r="B24" s="11" t="s">
        <v>410</v>
      </c>
      <c r="C24" s="14"/>
      <c r="D24" s="40" t="n">
        <f aca="false">COUNTIF(D5:D40,"*A*")</f>
        <v>6</v>
      </c>
      <c r="E24" s="40" t="n">
        <f aca="false">COUNTIF(E5:E40,"*A*")</f>
        <v>2</v>
      </c>
      <c r="F24" s="40" t="n">
        <f aca="false">COUNTIF(F5:F40,"*A*")</f>
        <v>0</v>
      </c>
      <c r="G24" s="40" t="n">
        <f aca="false">COUNTIF(G5:G40,"*A*")</f>
        <v>3</v>
      </c>
      <c r="H24" s="40" t="n">
        <f aca="false">COUNTIF(H5:H40,"*A*")</f>
        <v>2</v>
      </c>
      <c r="I24" s="40" t="n">
        <f aca="false">COUNTIF(I5:I40,"*A*")</f>
        <v>0</v>
      </c>
      <c r="J24" s="40" t="n">
        <f aca="false">COUNTIF(J5:J40,"*A*")</f>
        <v>0</v>
      </c>
      <c r="K24" s="40" t="n">
        <f aca="false">COUNTIF(K5:K40,"*A*")</f>
        <v>0</v>
      </c>
      <c r="L24" s="40" t="n">
        <f aca="false">COUNTIF(L5:L40,"*A*")</f>
        <v>1</v>
      </c>
      <c r="M24" s="40" t="n">
        <f aca="false">COUNTIF(M5:M40,"*A*")</f>
        <v>1</v>
      </c>
      <c r="N24" s="40" t="n">
        <f aca="false">COUNTIF(N5:N40,"*A*")</f>
        <v>0</v>
      </c>
      <c r="O24" s="40" t="n">
        <f aca="false">COUNTIF(O5:O40,"*A*")</f>
        <v>1</v>
      </c>
      <c r="P24" s="40" t="n">
        <f aca="false">COUNTIF(P5:P40,"*A*")</f>
        <v>1</v>
      </c>
      <c r="Q24" s="40" t="n">
        <f aca="false">COUNTIF(Q5:Q40,"*A*")</f>
        <v>1</v>
      </c>
      <c r="R24" s="37" t="str">
        <f aca="false">IF(A24="","",COUNTIF(D24:Q24,"*A*"))</f>
        <v/>
      </c>
      <c r="S24" s="37" t="str">
        <f aca="false">IF(A24="","",COUNTIF(D24:Q24,"*R*"))</f>
        <v/>
      </c>
      <c r="T24" s="36" t="str">
        <f aca="false">IF(A24="","",IF(R24&lt;&gt;1,"Needs one A",IF(S24&lt;1,"Needs an R","OK")))</f>
        <v/>
      </c>
    </row>
    <row r="25" customFormat="false" ht="19.5" hidden="false" customHeight="true" outlineLevel="0" collapsed="false">
      <c r="A25" s="14"/>
      <c r="B25" s="11" t="s">
        <v>411</v>
      </c>
      <c r="C25" s="14"/>
      <c r="D25" s="40" t="n">
        <f aca="false">COUNTIF(D5:D40,"*R*")</f>
        <v>3</v>
      </c>
      <c r="E25" s="40" t="n">
        <f aca="false">COUNTIF(E5:E40,"*R*")</f>
        <v>2</v>
      </c>
      <c r="F25" s="40" t="n">
        <f aca="false">COUNTIF(F5:F40,"*R*")</f>
        <v>2</v>
      </c>
      <c r="G25" s="40" t="n">
        <f aca="false">COUNTIF(G5:G40,"*R*")</f>
        <v>14</v>
      </c>
      <c r="H25" s="40" t="n">
        <f aca="false">COUNTIF(H5:H40,"*R*")</f>
        <v>5</v>
      </c>
      <c r="I25" s="40" t="n">
        <f aca="false">COUNTIF(I5:I40,"*R*")</f>
        <v>6</v>
      </c>
      <c r="J25" s="40" t="n">
        <f aca="false">COUNTIF(J5:J40,"*R*")</f>
        <v>4</v>
      </c>
      <c r="K25" s="40" t="n">
        <f aca="false">COUNTIF(K5:K40,"*R*")</f>
        <v>4</v>
      </c>
      <c r="L25" s="40" t="n">
        <f aca="false">COUNTIF(L5:L40,"*R*")</f>
        <v>2</v>
      </c>
      <c r="M25" s="40" t="n">
        <f aca="false">COUNTIF(M5:M40,"*R*")</f>
        <v>2</v>
      </c>
      <c r="N25" s="40" t="n">
        <f aca="false">COUNTIF(N5:N40,"*R*")</f>
        <v>2</v>
      </c>
      <c r="O25" s="40" t="n">
        <f aca="false">COUNTIF(O5:O40,"*R*")</f>
        <v>2</v>
      </c>
      <c r="P25" s="40" t="n">
        <f aca="false">COUNTIF(P5:P40,"*R*")</f>
        <v>3</v>
      </c>
      <c r="Q25" s="40" t="n">
        <f aca="false">COUNTIF(Q5:Q40,"*R*")</f>
        <v>3</v>
      </c>
      <c r="R25" s="37" t="str">
        <f aca="false">IF(A25="","",COUNTIF(D25:Q25,"*A*"))</f>
        <v/>
      </c>
      <c r="S25" s="37" t="str">
        <f aca="false">IF(A25="","",COUNTIF(D25:Q25,"*R*"))</f>
        <v/>
      </c>
      <c r="T25" s="36" t="str">
        <f aca="false">IF(A25="","",IF(R25&lt;&gt;1,"Needs one A",IF(S25&lt;1,"Needs an R","OK")))</f>
        <v/>
      </c>
    </row>
    <row r="26" customFormat="false" ht="19.5" hidden="false" customHeight="true" outlineLevel="0" collapsed="false">
      <c r="A26" s="14"/>
      <c r="B26" s="41" t="s">
        <v>412</v>
      </c>
      <c r="C26" s="14"/>
      <c r="D26" s="14"/>
      <c r="E26" s="14"/>
      <c r="F26" s="14"/>
      <c r="G26" s="14"/>
      <c r="H26" s="14"/>
      <c r="I26" s="14"/>
      <c r="J26" s="14"/>
      <c r="K26" s="14"/>
      <c r="L26" s="14"/>
      <c r="M26" s="14"/>
      <c r="N26" s="14"/>
      <c r="O26" s="14"/>
      <c r="P26" s="14"/>
      <c r="Q26" s="14"/>
      <c r="R26" s="37" t="str">
        <f aca="false">IF(A26="","",COUNTIF(D26:Q26,"*A*"))</f>
        <v/>
      </c>
      <c r="S26" s="37" t="str">
        <f aca="false">IF(A26="","",COUNTIF(D26:Q26,"*R*"))</f>
        <v/>
      </c>
      <c r="T26" s="36" t="str">
        <f aca="false">IF(A26="","",IF(R26&lt;&gt;1,"Needs one A",IF(S26&lt;1,"Needs an R","OK")))</f>
        <v/>
      </c>
    </row>
    <row r="27" customFormat="false" ht="19.5" hidden="false" customHeight="true" outlineLevel="0" collapsed="false">
      <c r="A27" s="14"/>
      <c r="B27" s="12"/>
      <c r="C27" s="14"/>
      <c r="D27" s="14"/>
      <c r="E27" s="14"/>
      <c r="F27" s="14"/>
      <c r="G27" s="14"/>
      <c r="H27" s="14"/>
      <c r="I27" s="14"/>
      <c r="J27" s="14"/>
      <c r="K27" s="14"/>
      <c r="L27" s="14"/>
      <c r="M27" s="14"/>
      <c r="N27" s="14"/>
      <c r="O27" s="14"/>
      <c r="P27" s="14"/>
      <c r="Q27" s="14"/>
      <c r="R27" s="37" t="str">
        <f aca="false">IF(A27="","",COUNTIF(D27:Q27,"*A*"))</f>
        <v/>
      </c>
      <c r="S27" s="37" t="str">
        <f aca="false">IF(A27="","",COUNTIF(D27:Q27,"*R*"))</f>
        <v/>
      </c>
      <c r="T27" s="36" t="str">
        <f aca="false">IF(A27="","",IF(R27&lt;&gt;1,"Needs one A",IF(S27&lt;1,"Needs an R","OK")))</f>
        <v/>
      </c>
    </row>
    <row r="28" customFormat="false" ht="19.5" hidden="false" customHeight="true" outlineLevel="0" collapsed="false">
      <c r="A28" s="14"/>
      <c r="B28" s="12"/>
      <c r="C28" s="14"/>
      <c r="D28" s="14"/>
      <c r="E28" s="14"/>
      <c r="F28" s="14"/>
      <c r="G28" s="14"/>
      <c r="H28" s="14"/>
      <c r="I28" s="14"/>
      <c r="J28" s="14"/>
      <c r="K28" s="14"/>
      <c r="L28" s="14"/>
      <c r="M28" s="14"/>
      <c r="N28" s="14"/>
      <c r="O28" s="14"/>
      <c r="P28" s="14"/>
      <c r="Q28" s="14"/>
      <c r="R28" s="37" t="str">
        <f aca="false">IF(A28="","",COUNTIF(D28:Q28,"*A*"))</f>
        <v/>
      </c>
      <c r="S28" s="37" t="str">
        <f aca="false">IF(A28="","",COUNTIF(D28:Q28,"*R*"))</f>
        <v/>
      </c>
      <c r="T28" s="36" t="str">
        <f aca="false">IF(A28="","",IF(R28&lt;&gt;1,"Needs one A",IF(S28&lt;1,"Needs an R","OK")))</f>
        <v/>
      </c>
    </row>
    <row r="29" customFormat="false" ht="19.5" hidden="false" customHeight="true" outlineLevel="0" collapsed="false">
      <c r="A29" s="14"/>
      <c r="B29" s="12"/>
      <c r="C29" s="14"/>
      <c r="D29" s="14"/>
      <c r="E29" s="14"/>
      <c r="F29" s="14"/>
      <c r="G29" s="14"/>
      <c r="H29" s="14"/>
      <c r="I29" s="14"/>
      <c r="J29" s="14"/>
      <c r="K29" s="14"/>
      <c r="L29" s="14"/>
      <c r="M29" s="14"/>
      <c r="N29" s="14"/>
      <c r="O29" s="14"/>
      <c r="P29" s="14"/>
      <c r="Q29" s="14"/>
      <c r="R29" s="37" t="str">
        <f aca="false">IF(A29="","",COUNTIF(D29:Q29,"*A*"))</f>
        <v/>
      </c>
      <c r="S29" s="37" t="str">
        <f aca="false">IF(A29="","",COUNTIF(D29:Q29,"*R*"))</f>
        <v/>
      </c>
      <c r="T29" s="36" t="str">
        <f aca="false">IF(A29="","",IF(R29&lt;&gt;1,"Needs one A",IF(S29&lt;1,"Needs an R","OK")))</f>
        <v/>
      </c>
    </row>
    <row r="30" customFormat="false" ht="19.5" hidden="false" customHeight="true" outlineLevel="0" collapsed="false">
      <c r="A30" s="14"/>
      <c r="B30" s="12"/>
      <c r="C30" s="14"/>
      <c r="D30" s="14"/>
      <c r="E30" s="14"/>
      <c r="F30" s="14"/>
      <c r="G30" s="14"/>
      <c r="H30" s="14"/>
      <c r="I30" s="14"/>
      <c r="J30" s="14"/>
      <c r="K30" s="14"/>
      <c r="L30" s="14"/>
      <c r="M30" s="14"/>
      <c r="N30" s="14"/>
      <c r="O30" s="14"/>
      <c r="P30" s="14"/>
      <c r="Q30" s="14"/>
      <c r="R30" s="37" t="str">
        <f aca="false">IF(A30="","",COUNTIF(D30:Q30,"*A*"))</f>
        <v/>
      </c>
      <c r="S30" s="37" t="str">
        <f aca="false">IF(A30="","",COUNTIF(D30:Q30,"*R*"))</f>
        <v/>
      </c>
      <c r="T30" s="36" t="str">
        <f aca="false">IF(A30="","",IF(R30&lt;&gt;1,"Needs one A",IF(S30&lt;1,"Needs an R","OK")))</f>
        <v/>
      </c>
    </row>
    <row r="31" customFormat="false" ht="19.5" hidden="false" customHeight="true" outlineLevel="0" collapsed="false">
      <c r="A31" s="14"/>
      <c r="B31" s="12"/>
      <c r="C31" s="14"/>
      <c r="D31" s="14"/>
      <c r="E31" s="14"/>
      <c r="F31" s="14"/>
      <c r="G31" s="14"/>
      <c r="H31" s="14"/>
      <c r="I31" s="14"/>
      <c r="J31" s="14"/>
      <c r="K31" s="14"/>
      <c r="L31" s="14"/>
      <c r="M31" s="14"/>
      <c r="N31" s="14"/>
      <c r="O31" s="14"/>
      <c r="P31" s="14"/>
      <c r="Q31" s="14"/>
      <c r="R31" s="37" t="str">
        <f aca="false">IF(A31="","",COUNTIF(D31:Q31,"*A*"))</f>
        <v/>
      </c>
      <c r="S31" s="37" t="str">
        <f aca="false">IF(A31="","",COUNTIF(D31:Q31,"*R*"))</f>
        <v/>
      </c>
      <c r="T31" s="36" t="str">
        <f aca="false">IF(A31="","",IF(R31&lt;&gt;1,"Needs one A",IF(S31&lt;1,"Needs an R","OK")))</f>
        <v/>
      </c>
    </row>
    <row r="32" customFormat="false" ht="19.5" hidden="false" customHeight="true" outlineLevel="0" collapsed="false">
      <c r="A32" s="14"/>
      <c r="B32" s="12"/>
      <c r="C32" s="14"/>
      <c r="D32" s="14"/>
      <c r="E32" s="14"/>
      <c r="F32" s="14"/>
      <c r="G32" s="14"/>
      <c r="H32" s="14"/>
      <c r="I32" s="14"/>
      <c r="J32" s="14"/>
      <c r="K32" s="14"/>
      <c r="L32" s="14"/>
      <c r="M32" s="14"/>
      <c r="N32" s="14"/>
      <c r="O32" s="14"/>
      <c r="P32" s="14"/>
      <c r="Q32" s="14"/>
      <c r="R32" s="37" t="str">
        <f aca="false">IF(A32="","",COUNTIF(D32:Q32,"*A*"))</f>
        <v/>
      </c>
      <c r="S32" s="37" t="str">
        <f aca="false">IF(A32="","",COUNTIF(D32:Q32,"*R*"))</f>
        <v/>
      </c>
      <c r="T32" s="36" t="str">
        <f aca="false">IF(A32="","",IF(R32&lt;&gt;1,"Needs one A",IF(S32&lt;1,"Needs an R","OK")))</f>
        <v/>
      </c>
    </row>
    <row r="33" customFormat="false" ht="19.5" hidden="false" customHeight="true" outlineLevel="0" collapsed="false">
      <c r="A33" s="14"/>
      <c r="B33" s="12"/>
      <c r="C33" s="14"/>
      <c r="D33" s="14"/>
      <c r="E33" s="14"/>
      <c r="F33" s="14"/>
      <c r="G33" s="14"/>
      <c r="H33" s="14"/>
      <c r="I33" s="14"/>
      <c r="J33" s="14"/>
      <c r="K33" s="14"/>
      <c r="L33" s="14"/>
      <c r="M33" s="14"/>
      <c r="N33" s="14"/>
      <c r="O33" s="14"/>
      <c r="P33" s="14"/>
      <c r="Q33" s="14"/>
      <c r="R33" s="37" t="str">
        <f aca="false">IF(A33="","",COUNTIF(D33:Q33,"*A*"))</f>
        <v/>
      </c>
      <c r="S33" s="37" t="str">
        <f aca="false">IF(A33="","",COUNTIF(D33:Q33,"*R*"))</f>
        <v/>
      </c>
      <c r="T33" s="36" t="str">
        <f aca="false">IF(A33="","",IF(R33&lt;&gt;1,"Needs one A",IF(S33&lt;1,"Needs an R","OK")))</f>
        <v/>
      </c>
    </row>
    <row r="34" customFormat="false" ht="19.5" hidden="false" customHeight="true" outlineLevel="0" collapsed="false">
      <c r="A34" s="14"/>
      <c r="B34" s="12"/>
      <c r="C34" s="14"/>
      <c r="D34" s="14"/>
      <c r="E34" s="14"/>
      <c r="F34" s="14"/>
      <c r="G34" s="14"/>
      <c r="H34" s="14"/>
      <c r="I34" s="14"/>
      <c r="J34" s="14"/>
      <c r="K34" s="14"/>
      <c r="L34" s="14"/>
      <c r="M34" s="14"/>
      <c r="N34" s="14"/>
      <c r="O34" s="14"/>
      <c r="P34" s="14"/>
      <c r="Q34" s="14"/>
      <c r="R34" s="37" t="str">
        <f aca="false">IF(A34="","",COUNTIF(D34:Q34,"*A*"))</f>
        <v/>
      </c>
      <c r="S34" s="37" t="str">
        <f aca="false">IF(A34="","",COUNTIF(D34:Q34,"*R*"))</f>
        <v/>
      </c>
      <c r="T34" s="36" t="str">
        <f aca="false">IF(A34="","",IF(R34&lt;&gt;1,"Needs one A",IF(S34&lt;1,"Needs an R","OK")))</f>
        <v/>
      </c>
    </row>
    <row r="35" customFormat="false" ht="19.5" hidden="false" customHeight="true" outlineLevel="0" collapsed="false">
      <c r="A35" s="14"/>
      <c r="B35" s="12"/>
      <c r="C35" s="14"/>
      <c r="D35" s="14"/>
      <c r="E35" s="14"/>
      <c r="F35" s="14"/>
      <c r="G35" s="14"/>
      <c r="H35" s="14"/>
      <c r="I35" s="14"/>
      <c r="J35" s="14"/>
      <c r="K35" s="14"/>
      <c r="L35" s="14"/>
      <c r="M35" s="14"/>
      <c r="N35" s="14"/>
      <c r="O35" s="14"/>
      <c r="P35" s="14"/>
      <c r="Q35" s="14"/>
      <c r="R35" s="37" t="str">
        <f aca="false">IF(A35="","",COUNTIF(D35:Q35,"*A*"))</f>
        <v/>
      </c>
      <c r="S35" s="37" t="str">
        <f aca="false">IF(A35="","",COUNTIF(D35:Q35,"*R*"))</f>
        <v/>
      </c>
      <c r="T35" s="36" t="str">
        <f aca="false">IF(A35="","",IF(R35&lt;&gt;1,"Needs one A",IF(S35&lt;1,"Needs an R","OK")))</f>
        <v/>
      </c>
    </row>
    <row r="36" customFormat="false" ht="19.5" hidden="false" customHeight="true" outlineLevel="0" collapsed="false">
      <c r="A36" s="14"/>
      <c r="B36" s="12"/>
      <c r="C36" s="14"/>
      <c r="D36" s="14"/>
      <c r="E36" s="14"/>
      <c r="F36" s="14"/>
      <c r="G36" s="14"/>
      <c r="H36" s="14"/>
      <c r="I36" s="14"/>
      <c r="J36" s="14"/>
      <c r="K36" s="14"/>
      <c r="L36" s="14"/>
      <c r="M36" s="14"/>
      <c r="N36" s="14"/>
      <c r="O36" s="14"/>
      <c r="P36" s="14"/>
      <c r="Q36" s="14"/>
      <c r="R36" s="37" t="str">
        <f aca="false">IF(A36="","",COUNTIF(D36:Q36,"*A*"))</f>
        <v/>
      </c>
      <c r="S36" s="37" t="str">
        <f aca="false">IF(A36="","",COUNTIF(D36:Q36,"*R*"))</f>
        <v/>
      </c>
      <c r="T36" s="36" t="str">
        <f aca="false">IF(A36="","",IF(R36&lt;&gt;1,"Needs one A",IF(S36&lt;1,"Needs an R","OK")))</f>
        <v/>
      </c>
    </row>
    <row r="37" customFormat="false" ht="19.5" hidden="false" customHeight="true" outlineLevel="0" collapsed="false">
      <c r="A37" s="14"/>
      <c r="B37" s="12"/>
      <c r="C37" s="14"/>
      <c r="D37" s="14"/>
      <c r="E37" s="14"/>
      <c r="F37" s="14"/>
      <c r="G37" s="14"/>
      <c r="H37" s="14"/>
      <c r="I37" s="14"/>
      <c r="J37" s="14"/>
      <c r="K37" s="14"/>
      <c r="L37" s="14"/>
      <c r="M37" s="14"/>
      <c r="N37" s="14"/>
      <c r="O37" s="14"/>
      <c r="P37" s="14"/>
      <c r="Q37" s="14"/>
      <c r="R37" s="37" t="str">
        <f aca="false">IF(A37="","",COUNTIF(D37:Q37,"*A*"))</f>
        <v/>
      </c>
      <c r="S37" s="37" t="str">
        <f aca="false">IF(A37="","",COUNTIF(D37:Q37,"*R*"))</f>
        <v/>
      </c>
      <c r="T37" s="36" t="str">
        <f aca="false">IF(A37="","",IF(R37&lt;&gt;1,"Needs one A",IF(S37&lt;1,"Needs an R","OK")))</f>
        <v/>
      </c>
    </row>
    <row r="38" customFormat="false" ht="19.5" hidden="false" customHeight="true" outlineLevel="0" collapsed="false">
      <c r="A38" s="14"/>
      <c r="B38" s="12"/>
      <c r="C38" s="14"/>
      <c r="D38" s="14"/>
      <c r="E38" s="14"/>
      <c r="F38" s="14"/>
      <c r="G38" s="14"/>
      <c r="H38" s="14"/>
      <c r="I38" s="14"/>
      <c r="J38" s="14"/>
      <c r="K38" s="14"/>
      <c r="L38" s="14"/>
      <c r="M38" s="14"/>
      <c r="N38" s="14"/>
      <c r="O38" s="14"/>
      <c r="P38" s="14"/>
      <c r="Q38" s="14"/>
      <c r="R38" s="37" t="str">
        <f aca="false">IF(A38="","",COUNTIF(D38:Q38,"*A*"))</f>
        <v/>
      </c>
      <c r="S38" s="37" t="str">
        <f aca="false">IF(A38="","",COUNTIF(D38:Q38,"*R*"))</f>
        <v/>
      </c>
      <c r="T38" s="36" t="str">
        <f aca="false">IF(A38="","",IF(R38&lt;&gt;1,"Needs one A",IF(S38&lt;1,"Needs an R","OK")))</f>
        <v/>
      </c>
    </row>
    <row r="39" customFormat="false" ht="19.5" hidden="false" customHeight="true" outlineLevel="0" collapsed="false">
      <c r="A39" s="14"/>
      <c r="B39" s="12"/>
      <c r="C39" s="14"/>
      <c r="D39" s="14"/>
      <c r="E39" s="14"/>
      <c r="F39" s="14"/>
      <c r="G39" s="14"/>
      <c r="H39" s="14"/>
      <c r="I39" s="14"/>
      <c r="J39" s="14"/>
      <c r="K39" s="14"/>
      <c r="L39" s="14"/>
      <c r="M39" s="14"/>
      <c r="N39" s="14"/>
      <c r="O39" s="14"/>
      <c r="P39" s="14"/>
      <c r="Q39" s="14"/>
      <c r="R39" s="37" t="str">
        <f aca="false">IF(A39="","",COUNTIF(D39:Q39,"*A*"))</f>
        <v/>
      </c>
      <c r="S39" s="37" t="str">
        <f aca="false">IF(A39="","",COUNTIF(D39:Q39,"*R*"))</f>
        <v/>
      </c>
      <c r="T39" s="36" t="str">
        <f aca="false">IF(A39="","",IF(R39&lt;&gt;1,"Needs one A",IF(S39&lt;1,"Needs an R","OK")))</f>
        <v/>
      </c>
    </row>
    <row r="40" customFormat="false" ht="19.5" hidden="false" customHeight="true" outlineLevel="0" collapsed="false">
      <c r="A40" s="14"/>
      <c r="B40" s="12"/>
      <c r="C40" s="14"/>
      <c r="D40" s="14"/>
      <c r="E40" s="14"/>
      <c r="F40" s="14"/>
      <c r="G40" s="14"/>
      <c r="H40" s="14"/>
      <c r="I40" s="14"/>
      <c r="J40" s="14"/>
      <c r="K40" s="14"/>
      <c r="L40" s="14"/>
      <c r="M40" s="14"/>
      <c r="N40" s="14"/>
      <c r="O40" s="14"/>
      <c r="P40" s="14"/>
      <c r="Q40" s="14"/>
      <c r="R40" s="37" t="str">
        <f aca="false">IF(A40="","",COUNTIF(D40:Q40,"*A*"))</f>
        <v/>
      </c>
      <c r="S40" s="37" t="str">
        <f aca="false">IF(A40="","",COUNTIF(D40:Q40,"*R*"))</f>
        <v/>
      </c>
      <c r="T40" s="36" t="str">
        <f aca="false">IF(A40="","",IF(R40&lt;&gt;1,"Needs one A",IF(S40&lt;1,"Needs an R","OK")))</f>
        <v/>
      </c>
    </row>
  </sheetData>
  <conditionalFormatting sqref="D5:Q40">
    <cfRule type="cellIs" priority="2" operator="equal" aboveAverage="0" equalAverage="0" bottom="0" percent="0" rank="0" text="" dxfId="21">
      <formula>"A"</formula>
    </cfRule>
    <cfRule type="cellIs" priority="3" operator="equal" aboveAverage="0" equalAverage="0" bottom="0" percent="0" rank="0" text="" dxfId="21">
      <formula>"R/A"</formula>
    </cfRule>
    <cfRule type="cellIs" priority="4" operator="equal" aboveAverage="0" equalAverage="0" bottom="0" percent="0" rank="0" text="" dxfId="22">
      <formula>"R"</formula>
    </cfRule>
    <cfRule type="cellIs" priority="5" operator="equal" aboveAverage="0" equalAverage="0" bottom="0" percent="0" rank="0" text="" dxfId="1">
      <formula>"C"</formula>
    </cfRule>
    <cfRule type="cellIs" priority="6" operator="equal" aboveAverage="0" equalAverage="0" bottom="0" percent="0" rank="0" text="" dxfId="2">
      <formula>"I"</formula>
    </cfRule>
  </conditionalFormatting>
  <conditionalFormatting sqref="T5:T40">
    <cfRule type="cellIs" priority="7" operator="equal" aboveAverage="0" equalAverage="0" bottom="0" percent="0" rank="0" text="" dxfId="20">
      <formula>"OK"</formula>
    </cfRule>
    <cfRule type="cellIs" priority="8" operator="equal" aboveAverage="0" equalAverage="0" bottom="0" percent="0" rank="0" text="" dxfId="0">
      <formula>"Needs one A"</formula>
    </cfRule>
    <cfRule type="cellIs" priority="9" operator="equal" aboveAverage="0" equalAverage="0" bottom="0" percent="0" rank="0" text="" dxfId="0">
      <formula>"Needs an R"</formula>
    </cfRule>
  </conditionalFormatting>
  <dataValidations count="1">
    <dataValidation allowBlank="true" errorStyle="stop" operator="between" showDropDown="false" showErrorMessage="false" showInputMessage="false" sqref="D5:Q40" type="list">
      <formula1>"R,A,C,I,R/A"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2"/>
    <col collapsed="false" customWidth="true" hidden="false" outlineLevel="0" max="3" min="3" style="0" width="16"/>
    <col collapsed="false" customWidth="true" hidden="false" outlineLevel="0" max="4" min="4" style="0" width="30"/>
    <col collapsed="false" customWidth="true" hidden="false" outlineLevel="0" max="5" min="5" style="0" width="13"/>
    <col collapsed="false" customWidth="true" hidden="false" outlineLevel="0" max="6" min="6" style="0" width="14"/>
    <col collapsed="false" customWidth="true" hidden="false" outlineLevel="0" max="7" min="7" style="0" width="28"/>
    <col collapsed="false" customWidth="true" hidden="false" outlineLevel="0" max="8" min="8" style="0" width="30"/>
    <col collapsed="false" customWidth="true" hidden="false" outlineLevel="0" max="9" min="9" style="0" width="12"/>
    <col collapsed="false" customWidth="true" hidden="false" outlineLevel="0" max="10" min="10" style="0" width="8"/>
    <col collapsed="false" customWidth="true" hidden="true" outlineLevel="0" max="11" min="11" style="0" width="5"/>
  </cols>
  <sheetData>
    <row r="1" customFormat="false" ht="19.7" hidden="false" customHeight="false" outlineLevel="0" collapsed="false">
      <c r="A1" s="31" t="s">
        <v>413</v>
      </c>
    </row>
    <row r="2" customFormat="false" ht="15" hidden="false" customHeight="false" outlineLevel="0" collapsed="false">
      <c r="A2" s="17" t="s">
        <v>414</v>
      </c>
    </row>
    <row r="3" customFormat="false" ht="15" hidden="false" customHeight="false" outlineLevel="0" collapsed="false">
      <c r="A3" s="13" t="s">
        <v>415</v>
      </c>
    </row>
    <row r="4" customFormat="false" ht="39.75" hidden="false" customHeight="true" outlineLevel="0" collapsed="false">
      <c r="A4" s="34" t="s">
        <v>90</v>
      </c>
      <c r="B4" s="34" t="s">
        <v>13</v>
      </c>
      <c r="C4" s="34" t="s">
        <v>91</v>
      </c>
      <c r="D4" s="34" t="s">
        <v>416</v>
      </c>
      <c r="E4" s="34" t="s">
        <v>195</v>
      </c>
      <c r="F4" s="34" t="s">
        <v>417</v>
      </c>
      <c r="G4" s="34" t="s">
        <v>418</v>
      </c>
      <c r="H4" s="34" t="s">
        <v>92</v>
      </c>
      <c r="I4" s="34" t="s">
        <v>419</v>
      </c>
      <c r="J4" s="35" t="s">
        <v>93</v>
      </c>
      <c r="K4" s="35" t="s">
        <v>420</v>
      </c>
    </row>
    <row r="5" customFormat="false" ht="45" hidden="false" customHeight="true" outlineLevel="0" collapsed="false">
      <c r="A5" s="11" t="s">
        <v>358</v>
      </c>
      <c r="B5" s="12" t="s">
        <v>421</v>
      </c>
      <c r="C5" s="12" t="s">
        <v>158</v>
      </c>
      <c r="D5" s="12" t="s">
        <v>422</v>
      </c>
      <c r="E5" s="14" t="s">
        <v>223</v>
      </c>
      <c r="F5" s="14" t="s">
        <v>423</v>
      </c>
      <c r="G5" s="12" t="s">
        <v>424</v>
      </c>
      <c r="H5" s="12" t="s">
        <v>425</v>
      </c>
      <c r="I5" s="15" t="n">
        <v>46289</v>
      </c>
      <c r="J5" s="36" t="n">
        <f aca="false">IF(I5="","",I5-Cover!$C$7)</f>
        <v>14</v>
      </c>
      <c r="K5" s="42" t="n">
        <f aca="false">IF(AND(I5&lt;&gt;"",N(J5)&gt;=0,N(J5)&lt;=14),I5+ROW()/100000,"")</f>
        <v>46289.00005</v>
      </c>
    </row>
    <row r="6" customFormat="false" ht="31.5" hidden="false" customHeight="true" outlineLevel="0" collapsed="false">
      <c r="A6" s="11" t="s">
        <v>426</v>
      </c>
      <c r="B6" s="12" t="s">
        <v>427</v>
      </c>
      <c r="C6" s="12" t="s">
        <v>161</v>
      </c>
      <c r="D6" s="12" t="s">
        <v>428</v>
      </c>
      <c r="E6" s="14" t="s">
        <v>213</v>
      </c>
      <c r="F6" s="14" t="s">
        <v>429</v>
      </c>
      <c r="G6" s="12" t="s">
        <v>430</v>
      </c>
      <c r="H6" s="12" t="s">
        <v>431</v>
      </c>
      <c r="I6" s="15" t="n">
        <v>46279</v>
      </c>
      <c r="J6" s="36" t="n">
        <f aca="false">IF(I6="","",I6-Cover!$C$7)</f>
        <v>4</v>
      </c>
      <c r="K6" s="42" t="n">
        <f aca="false">IF(AND(I6&lt;&gt;"",N(J6)&gt;=0,N(J6)&lt;=14),I6+ROW()/100000,"")</f>
        <v>46279.00006</v>
      </c>
    </row>
    <row r="7" customFormat="false" ht="31.5" hidden="false" customHeight="true" outlineLevel="0" collapsed="false">
      <c r="A7" s="11" t="s">
        <v>432</v>
      </c>
      <c r="B7" s="12" t="s">
        <v>433</v>
      </c>
      <c r="C7" s="12" t="s">
        <v>167</v>
      </c>
      <c r="D7" s="12" t="s">
        <v>434</v>
      </c>
      <c r="E7" s="14" t="s">
        <v>213</v>
      </c>
      <c r="F7" s="14" t="s">
        <v>435</v>
      </c>
      <c r="G7" s="12" t="s">
        <v>436</v>
      </c>
      <c r="H7" s="12" t="s">
        <v>437</v>
      </c>
      <c r="I7" s="15" t="n">
        <v>46281</v>
      </c>
      <c r="J7" s="36" t="n">
        <f aca="false">IF(I7="","",I7-Cover!$C$7)</f>
        <v>6</v>
      </c>
      <c r="K7" s="42" t="n">
        <f aca="false">IF(AND(I7&lt;&gt;"",N(J7)&gt;=0,N(J7)&lt;=14),I7+ROW()/100000,"")</f>
        <v>46281.00007</v>
      </c>
    </row>
    <row r="8" customFormat="false" ht="45" hidden="false" customHeight="true" outlineLevel="0" collapsed="false">
      <c r="A8" s="11" t="s">
        <v>438</v>
      </c>
      <c r="B8" s="12" t="s">
        <v>439</v>
      </c>
      <c r="C8" s="12" t="s">
        <v>164</v>
      </c>
      <c r="D8" s="12" t="s">
        <v>440</v>
      </c>
      <c r="E8" s="14" t="s">
        <v>441</v>
      </c>
      <c r="F8" s="14" t="s">
        <v>442</v>
      </c>
      <c r="G8" s="12" t="s">
        <v>443</v>
      </c>
      <c r="H8" s="12" t="s">
        <v>444</v>
      </c>
      <c r="I8" s="15" t="n">
        <v>46276</v>
      </c>
      <c r="J8" s="36" t="n">
        <f aca="false">IF(I8="","",I8-Cover!$C$7)</f>
        <v>1</v>
      </c>
      <c r="K8" s="42" t="n">
        <f aca="false">IF(AND(I8&lt;&gt;"",N(J8)&gt;=0,N(J8)&lt;=14),I8+ROW()/100000,"")</f>
        <v>46276.00008</v>
      </c>
    </row>
    <row r="9" customFormat="false" ht="31.5" hidden="false" customHeight="true" outlineLevel="0" collapsed="false">
      <c r="A9" s="11" t="s">
        <v>445</v>
      </c>
      <c r="B9" s="12" t="s">
        <v>446</v>
      </c>
      <c r="C9" s="12" t="s">
        <v>164</v>
      </c>
      <c r="D9" s="12" t="s">
        <v>447</v>
      </c>
      <c r="E9" s="14" t="s">
        <v>441</v>
      </c>
      <c r="F9" s="14" t="s">
        <v>448</v>
      </c>
      <c r="G9" s="12" t="s">
        <v>449</v>
      </c>
      <c r="H9" s="12" t="s">
        <v>450</v>
      </c>
      <c r="I9" s="15" t="n">
        <v>46279</v>
      </c>
      <c r="J9" s="36" t="n">
        <f aca="false">IF(I9="","",I9-Cover!$C$7)</f>
        <v>4</v>
      </c>
      <c r="K9" s="42" t="n">
        <f aca="false">IF(AND(I9&lt;&gt;"",N(J9)&gt;=0,N(J9)&lt;=14),I9+ROW()/100000,"")</f>
        <v>46279.00009</v>
      </c>
    </row>
    <row r="10" customFormat="false" ht="31.5" hidden="false" customHeight="true" outlineLevel="0" collapsed="false">
      <c r="A10" s="11" t="s">
        <v>451</v>
      </c>
      <c r="B10" s="12" t="s">
        <v>452</v>
      </c>
      <c r="C10" s="12" t="s">
        <v>164</v>
      </c>
      <c r="D10" s="12" t="s">
        <v>453</v>
      </c>
      <c r="E10" s="14" t="s">
        <v>213</v>
      </c>
      <c r="F10" s="14" t="s">
        <v>454</v>
      </c>
      <c r="G10" s="12" t="s">
        <v>455</v>
      </c>
      <c r="H10" s="12" t="s">
        <v>456</v>
      </c>
      <c r="I10" s="15" t="n">
        <v>46280</v>
      </c>
      <c r="J10" s="36" t="n">
        <f aca="false">IF(I10="","",I10-Cover!$C$7)</f>
        <v>5</v>
      </c>
      <c r="K10" s="42" t="n">
        <f aca="false">IF(AND(I10&lt;&gt;"",N(J10)&gt;=0,N(J10)&lt;=14),I10+ROW()/100000,"")</f>
        <v>46280.0001</v>
      </c>
    </row>
    <row r="11" customFormat="false" ht="31.5" hidden="false" customHeight="true" outlineLevel="0" collapsed="false">
      <c r="A11" s="11" t="s">
        <v>457</v>
      </c>
      <c r="B11" s="12" t="s">
        <v>458</v>
      </c>
      <c r="C11" s="12" t="s">
        <v>171</v>
      </c>
      <c r="D11" s="12" t="s">
        <v>459</v>
      </c>
      <c r="E11" s="14" t="s">
        <v>223</v>
      </c>
      <c r="F11" s="14" t="s">
        <v>460</v>
      </c>
      <c r="G11" s="12" t="s">
        <v>461</v>
      </c>
      <c r="H11" s="12" t="s">
        <v>462</v>
      </c>
      <c r="I11" s="15" t="n">
        <v>46280</v>
      </c>
      <c r="J11" s="36" t="n">
        <f aca="false">IF(I11="","",I11-Cover!$C$7)</f>
        <v>5</v>
      </c>
      <c r="K11" s="42" t="n">
        <f aca="false">IF(AND(I11&lt;&gt;"",N(J11)&gt;=0,N(J11)&lt;=14),I11+ROW()/100000,"")</f>
        <v>46280.00011</v>
      </c>
    </row>
    <row r="12" customFormat="false" ht="31.5" hidden="false" customHeight="true" outlineLevel="0" collapsed="false">
      <c r="A12" s="11" t="s">
        <v>463</v>
      </c>
      <c r="B12" s="12" t="s">
        <v>464</v>
      </c>
      <c r="C12" s="12" t="s">
        <v>251</v>
      </c>
      <c r="D12" s="12" t="s">
        <v>465</v>
      </c>
      <c r="E12" s="14" t="s">
        <v>223</v>
      </c>
      <c r="F12" s="14" t="s">
        <v>466</v>
      </c>
      <c r="G12" s="12" t="s">
        <v>467</v>
      </c>
      <c r="H12" s="12" t="s">
        <v>468</v>
      </c>
      <c r="I12" s="15" t="n">
        <v>46281</v>
      </c>
      <c r="J12" s="36" t="n">
        <f aca="false">IF(I12="","",I12-Cover!$C$7)</f>
        <v>6</v>
      </c>
      <c r="K12" s="42" t="n">
        <f aca="false">IF(AND(I12&lt;&gt;"",N(J12)&gt;=0,N(J12)&lt;=14),I12+ROW()/100000,"")</f>
        <v>46281.00012</v>
      </c>
    </row>
    <row r="13" customFormat="false" ht="31.5" hidden="false" customHeight="true" outlineLevel="0" collapsed="false">
      <c r="A13" s="11" t="s">
        <v>469</v>
      </c>
      <c r="B13" s="12" t="s">
        <v>470</v>
      </c>
      <c r="C13" s="12" t="s">
        <v>158</v>
      </c>
      <c r="D13" s="12" t="s">
        <v>471</v>
      </c>
      <c r="E13" s="14" t="s">
        <v>472</v>
      </c>
      <c r="F13" s="14" t="s">
        <v>473</v>
      </c>
      <c r="G13" s="12" t="s">
        <v>474</v>
      </c>
      <c r="H13" s="12" t="s">
        <v>475</v>
      </c>
      <c r="I13" s="15" t="n">
        <v>46282</v>
      </c>
      <c r="J13" s="36" t="n">
        <f aca="false">IF(I13="","",I13-Cover!$C$7)</f>
        <v>7</v>
      </c>
      <c r="K13" s="42" t="n">
        <f aca="false">IF(AND(I13&lt;&gt;"",N(J13)&gt;=0,N(J13)&lt;=14),I13+ROW()/100000,"")</f>
        <v>46282.00013</v>
      </c>
    </row>
    <row r="14" customFormat="false" ht="31.5" hidden="false" customHeight="true" outlineLevel="0" collapsed="false">
      <c r="A14" s="11" t="s">
        <v>476</v>
      </c>
      <c r="B14" s="12" t="s">
        <v>477</v>
      </c>
      <c r="C14" s="12" t="s">
        <v>289</v>
      </c>
      <c r="D14" s="12" t="s">
        <v>478</v>
      </c>
      <c r="E14" s="14" t="s">
        <v>270</v>
      </c>
      <c r="F14" s="14" t="s">
        <v>479</v>
      </c>
      <c r="G14" s="12" t="s">
        <v>480</v>
      </c>
      <c r="H14" s="12" t="s">
        <v>481</v>
      </c>
      <c r="I14" s="15" t="n">
        <v>46296</v>
      </c>
      <c r="J14" s="36" t="n">
        <f aca="false">IF(I14="","",I14-Cover!$C$7)</f>
        <v>21</v>
      </c>
      <c r="K14" s="38" t="str">
        <f aca="false">IF(AND(I14&lt;&gt;"",N(J14)&gt;=0,N(J14)&lt;=14),I14+ROW()/100000,"")</f>
        <v/>
      </c>
    </row>
    <row r="15" customFormat="false" ht="31.5" hidden="false" customHeight="true" outlineLevel="0" collapsed="false">
      <c r="A15" s="11" t="s">
        <v>482</v>
      </c>
      <c r="B15" s="12" t="s">
        <v>483</v>
      </c>
      <c r="C15" s="12" t="s">
        <v>167</v>
      </c>
      <c r="D15" s="12" t="s">
        <v>484</v>
      </c>
      <c r="E15" s="14" t="s">
        <v>213</v>
      </c>
      <c r="F15" s="14" t="s">
        <v>485</v>
      </c>
      <c r="G15" s="12" t="s">
        <v>486</v>
      </c>
      <c r="H15" s="12" t="s">
        <v>487</v>
      </c>
      <c r="I15" s="15" t="n">
        <v>46280</v>
      </c>
      <c r="J15" s="36" t="n">
        <f aca="false">IF(I15="","",I15-Cover!$C$7)</f>
        <v>5</v>
      </c>
      <c r="K15" s="42" t="n">
        <f aca="false">IF(AND(I15&lt;&gt;"",N(J15)&gt;=0,N(J15)&lt;=14),I15+ROW()/100000,"")</f>
        <v>46280.00015</v>
      </c>
    </row>
    <row r="16" customFormat="false" ht="31.5" hidden="false" customHeight="true" outlineLevel="0" collapsed="false">
      <c r="A16" s="11" t="s">
        <v>488</v>
      </c>
      <c r="B16" s="12" t="s">
        <v>489</v>
      </c>
      <c r="C16" s="12" t="s">
        <v>228</v>
      </c>
      <c r="D16" s="12" t="s">
        <v>490</v>
      </c>
      <c r="E16" s="14" t="s">
        <v>491</v>
      </c>
      <c r="F16" s="14" t="s">
        <v>492</v>
      </c>
      <c r="G16" s="12" t="s">
        <v>493</v>
      </c>
      <c r="H16" s="12" t="s">
        <v>494</v>
      </c>
      <c r="I16" s="15" t="n">
        <v>46328</v>
      </c>
      <c r="J16" s="36" t="n">
        <f aca="false">IF(I16="","",I16-Cover!$C$7)</f>
        <v>53</v>
      </c>
      <c r="K16" s="38" t="str">
        <f aca="false">IF(AND(I16&lt;&gt;"",N(J16)&gt;=0,N(J16)&lt;=14),I16+ROW()/100000,"")</f>
        <v/>
      </c>
    </row>
    <row r="17" customFormat="false" ht="31.5" hidden="false" customHeight="true" outlineLevel="0" collapsed="false">
      <c r="A17" s="11" t="s">
        <v>495</v>
      </c>
      <c r="B17" s="12" t="s">
        <v>496</v>
      </c>
      <c r="C17" s="12" t="s">
        <v>305</v>
      </c>
      <c r="D17" s="12" t="s">
        <v>497</v>
      </c>
      <c r="E17" s="14" t="s">
        <v>341</v>
      </c>
      <c r="F17" s="14" t="s">
        <v>498</v>
      </c>
      <c r="G17" s="12" t="s">
        <v>499</v>
      </c>
      <c r="H17" s="12" t="s">
        <v>500</v>
      </c>
      <c r="I17" s="15" t="n">
        <v>46402</v>
      </c>
      <c r="J17" s="36" t="n">
        <f aca="false">IF(I17="","",I17-Cover!$C$7)</f>
        <v>127</v>
      </c>
      <c r="K17" s="38" t="str">
        <f aca="false">IF(AND(I17&lt;&gt;"",N(J17)&gt;=0,N(J17)&lt;=14),I17+ROW()/100000,"")</f>
        <v/>
      </c>
    </row>
    <row r="18" customFormat="false" ht="19.5" hidden="false" customHeight="true" outlineLevel="0" collapsed="false">
      <c r="A18" s="12"/>
      <c r="B18" s="12"/>
      <c r="C18" s="12"/>
      <c r="D18" s="12"/>
      <c r="E18" s="14"/>
      <c r="F18" s="14"/>
      <c r="G18" s="12"/>
      <c r="H18" s="12"/>
      <c r="I18" s="15"/>
      <c r="J18" s="36" t="str">
        <f aca="false">IF(I18="","",I18-Cover!$C$7)</f>
        <v/>
      </c>
      <c r="K18" s="38" t="str">
        <f aca="false">IF(AND(I18&lt;&gt;"",N(J18)&gt;=0,N(J18)&lt;=14),I18+ROW()/100000,"")</f>
        <v/>
      </c>
    </row>
    <row r="19" customFormat="false" ht="19.5" hidden="false" customHeight="true" outlineLevel="0" collapsed="false">
      <c r="A19" s="12"/>
      <c r="B19" s="12"/>
      <c r="C19" s="12"/>
      <c r="D19" s="12"/>
      <c r="E19" s="14"/>
      <c r="F19" s="14"/>
      <c r="G19" s="12"/>
      <c r="H19" s="12"/>
      <c r="I19" s="15"/>
      <c r="J19" s="36" t="str">
        <f aca="false">IF(I19="","",I19-Cover!$C$7)</f>
        <v/>
      </c>
      <c r="K19" s="38" t="str">
        <f aca="false">IF(AND(I19&lt;&gt;"",N(J19)&gt;=0,N(J19)&lt;=14),I19+ROW()/100000,"")</f>
        <v/>
      </c>
    </row>
    <row r="20" customFormat="false" ht="19.5" hidden="false" customHeight="true" outlineLevel="0" collapsed="false">
      <c r="A20" s="43" t="s">
        <v>501</v>
      </c>
      <c r="B20" s="44"/>
      <c r="C20" s="44"/>
      <c r="D20" s="44"/>
      <c r="E20" s="45"/>
      <c r="F20" s="45"/>
      <c r="G20" s="44"/>
      <c r="H20" s="44"/>
      <c r="I20" s="15"/>
      <c r="J20" s="36" t="str">
        <f aca="false">IF(I20="","",I20-Cover!$C$7)</f>
        <v/>
      </c>
      <c r="K20" s="38" t="str">
        <f aca="false">IF(AND(I20&lt;&gt;"",N(J20)&gt;=0,N(J20)&lt;=14),I20+ROW()/100000,"")</f>
        <v/>
      </c>
    </row>
    <row r="21" customFormat="false" ht="19.5" hidden="false" customHeight="true" outlineLevel="0" collapsed="false">
      <c r="A21" s="10" t="s">
        <v>16</v>
      </c>
      <c r="B21" s="10" t="s">
        <v>502</v>
      </c>
      <c r="C21" s="10" t="s">
        <v>503</v>
      </c>
      <c r="D21" s="10"/>
      <c r="E21" s="10" t="s">
        <v>504</v>
      </c>
      <c r="F21" s="10"/>
      <c r="G21" s="10" t="s">
        <v>505</v>
      </c>
      <c r="H21" s="10"/>
      <c r="I21" s="15"/>
      <c r="J21" s="36" t="str">
        <f aca="false">IF(I21="","",I21-Cover!$C$7)</f>
        <v/>
      </c>
      <c r="K21" s="38" t="str">
        <f aca="false">IF(AND(I21&lt;&gt;"",N(J21)&gt;=0,N(J21)&lt;=14),I21+ROW()/100000,"")</f>
        <v/>
      </c>
    </row>
    <row r="22" customFormat="false" ht="36" hidden="false" customHeight="true" outlineLevel="0" collapsed="false">
      <c r="A22" s="39" t="s">
        <v>506</v>
      </c>
      <c r="B22" s="12" t="s">
        <v>507</v>
      </c>
      <c r="C22" s="12" t="s">
        <v>508</v>
      </c>
      <c r="D22" s="12"/>
      <c r="E22" s="12" t="s">
        <v>509</v>
      </c>
      <c r="F22" s="12"/>
      <c r="G22" s="14" t="s">
        <v>510</v>
      </c>
      <c r="H22" s="14"/>
      <c r="I22" s="15"/>
      <c r="J22" s="36" t="str">
        <f aca="false">IF(I22="","",I22-Cover!$C$7)</f>
        <v/>
      </c>
      <c r="K22" s="38" t="str">
        <f aca="false">IF(AND(I22&lt;&gt;"",N(J22)&gt;=0,N(J22)&lt;=14),I22+ROW()/100000,"")</f>
        <v/>
      </c>
    </row>
    <row r="23" customFormat="false" ht="36" hidden="false" customHeight="true" outlineLevel="0" collapsed="false">
      <c r="A23" s="39" t="s">
        <v>511</v>
      </c>
      <c r="B23" s="12" t="s">
        <v>512</v>
      </c>
      <c r="C23" s="12" t="s">
        <v>513</v>
      </c>
      <c r="D23" s="12"/>
      <c r="E23" s="12" t="s">
        <v>514</v>
      </c>
      <c r="F23" s="12"/>
      <c r="G23" s="14" t="s">
        <v>515</v>
      </c>
      <c r="H23" s="14"/>
      <c r="I23" s="15"/>
      <c r="J23" s="36" t="str">
        <f aca="false">IF(I23="","",I23-Cover!$C$7)</f>
        <v/>
      </c>
      <c r="K23" s="38" t="str">
        <f aca="false">IF(AND(I23&lt;&gt;"",N(J23)&gt;=0,N(J23)&lt;=14),I23+ROW()/100000,"")</f>
        <v/>
      </c>
    </row>
    <row r="24" customFormat="false" ht="36" hidden="false" customHeight="true" outlineLevel="0" collapsed="false">
      <c r="A24" s="39" t="s">
        <v>516</v>
      </c>
      <c r="B24" s="12" t="s">
        <v>158</v>
      </c>
      <c r="C24" s="12" t="s">
        <v>517</v>
      </c>
      <c r="D24" s="12"/>
      <c r="E24" s="12" t="s">
        <v>518</v>
      </c>
      <c r="F24" s="12"/>
      <c r="G24" s="14" t="s">
        <v>519</v>
      </c>
      <c r="H24" s="14"/>
      <c r="I24" s="15"/>
      <c r="J24" s="36" t="str">
        <f aca="false">IF(I24="","",I24-Cover!$C$7)</f>
        <v/>
      </c>
      <c r="K24" s="38" t="str">
        <f aca="false">IF(AND(I24&lt;&gt;"",N(J24)&gt;=0,N(J24)&lt;=14),I24+ROW()/100000,"")</f>
        <v/>
      </c>
    </row>
    <row r="25" customFormat="false" ht="36" hidden="false" customHeight="true" outlineLevel="0" collapsed="false">
      <c r="A25" s="39" t="s">
        <v>520</v>
      </c>
      <c r="B25" s="12" t="s">
        <v>358</v>
      </c>
      <c r="C25" s="12" t="s">
        <v>521</v>
      </c>
      <c r="D25" s="12"/>
      <c r="E25" s="12" t="s">
        <v>522</v>
      </c>
      <c r="F25" s="12"/>
      <c r="G25" s="14" t="s">
        <v>523</v>
      </c>
      <c r="H25" s="14"/>
      <c r="I25" s="15"/>
      <c r="J25" s="36" t="str">
        <f aca="false">IF(I25="","",I25-Cover!$C$7)</f>
        <v/>
      </c>
      <c r="K25" s="38" t="str">
        <f aca="false">IF(AND(I25&lt;&gt;"",N(J25)&gt;=0,N(J25)&lt;=14),I25+ROW()/100000,"")</f>
        <v/>
      </c>
    </row>
    <row r="26" customFormat="false" ht="19.5" hidden="false" customHeight="true" outlineLevel="0" collapsed="false">
      <c r="A26" s="12"/>
      <c r="B26" s="12"/>
      <c r="C26" s="12"/>
      <c r="D26" s="12"/>
      <c r="E26" s="14"/>
      <c r="F26" s="14"/>
      <c r="G26" s="12"/>
      <c r="H26" s="12"/>
      <c r="I26" s="15"/>
      <c r="J26" s="36" t="str">
        <f aca="false">IF(I26="","",I26-Cover!$C$7)</f>
        <v/>
      </c>
      <c r="K26" s="38" t="str">
        <f aca="false">IF(AND(I26&lt;&gt;"",N(J26)&gt;=0,N(J26)&lt;=14),I26+ROW()/100000,"")</f>
        <v/>
      </c>
    </row>
    <row r="27" customFormat="false" ht="19.5" hidden="false" customHeight="true" outlineLevel="0" collapsed="false">
      <c r="A27" s="12"/>
      <c r="B27" s="12"/>
      <c r="C27" s="12"/>
      <c r="D27" s="12"/>
      <c r="E27" s="14"/>
      <c r="F27" s="14"/>
      <c r="G27" s="12"/>
      <c r="H27" s="12"/>
      <c r="I27" s="15"/>
      <c r="J27" s="36" t="str">
        <f aca="false">IF(I27="","",I27-Cover!$C$7)</f>
        <v/>
      </c>
      <c r="K27" s="38" t="str">
        <f aca="false">IF(AND(I27&lt;&gt;"",N(J27)&gt;=0,N(J27)&lt;=14),I27+ROW()/100000,"")</f>
        <v/>
      </c>
    </row>
    <row r="28" customFormat="false" ht="19.5" hidden="false" customHeight="true" outlineLevel="0" collapsed="false">
      <c r="A28" s="12"/>
      <c r="B28" s="12"/>
      <c r="C28" s="12"/>
      <c r="D28" s="12"/>
      <c r="E28" s="14"/>
      <c r="F28" s="14"/>
      <c r="G28" s="12"/>
      <c r="H28" s="12"/>
      <c r="I28" s="15"/>
      <c r="J28" s="36" t="str">
        <f aca="false">IF(I28="","",I28-Cover!$C$7)</f>
        <v/>
      </c>
      <c r="K28" s="38" t="str">
        <f aca="false">IF(AND(I28&lt;&gt;"",N(J28)&gt;=0,N(J28)&lt;=14),I28+ROW()/100000,"")</f>
        <v/>
      </c>
    </row>
    <row r="29" customFormat="false" ht="19.5" hidden="false" customHeight="true" outlineLevel="0" collapsed="false">
      <c r="A29" s="12"/>
      <c r="B29" s="12"/>
      <c r="C29" s="12"/>
      <c r="D29" s="12"/>
      <c r="E29" s="14"/>
      <c r="F29" s="14"/>
      <c r="G29" s="12"/>
      <c r="H29" s="12"/>
      <c r="I29" s="15"/>
      <c r="J29" s="36" t="str">
        <f aca="false">IF(I29="","",I29-Cover!$C$7)</f>
        <v/>
      </c>
      <c r="K29" s="38" t="str">
        <f aca="false">IF(AND(I29&lt;&gt;"",N(J29)&gt;=0,N(J29)&lt;=14),I29+ROW()/100000,"")</f>
        <v/>
      </c>
    </row>
    <row r="30" customFormat="false" ht="19.5" hidden="false" customHeight="true" outlineLevel="0" collapsed="false">
      <c r="A30" s="12"/>
      <c r="B30" s="12"/>
      <c r="C30" s="12"/>
      <c r="D30" s="12"/>
      <c r="E30" s="14"/>
      <c r="F30" s="14"/>
      <c r="G30" s="12"/>
      <c r="H30" s="12"/>
      <c r="I30" s="15"/>
      <c r="J30" s="36" t="str">
        <f aca="false">IF(I30="","",I30-Cover!$C$7)</f>
        <v/>
      </c>
      <c r="K30" s="38" t="str">
        <f aca="false">IF(AND(I30&lt;&gt;"",N(J30)&gt;=0,N(J30)&lt;=14),I30+ROW()/100000,"")</f>
        <v/>
      </c>
    </row>
    <row r="31" customFormat="false" ht="19.5" hidden="false" customHeight="true" outlineLevel="0" collapsed="false">
      <c r="A31" s="12"/>
      <c r="B31" s="12"/>
      <c r="C31" s="12"/>
      <c r="D31" s="12"/>
      <c r="E31" s="14"/>
      <c r="F31" s="14"/>
      <c r="G31" s="12"/>
      <c r="H31" s="12"/>
      <c r="I31" s="15"/>
      <c r="J31" s="36" t="str">
        <f aca="false">IF(I31="","",I31-Cover!$C$7)</f>
        <v/>
      </c>
      <c r="K31" s="38" t="str">
        <f aca="false">IF(AND(I31&lt;&gt;"",N(J31)&gt;=0,N(J31)&lt;=14),I31+ROW()/100000,"")</f>
        <v/>
      </c>
    </row>
    <row r="32" customFormat="false" ht="19.5" hidden="false" customHeight="true" outlineLevel="0" collapsed="false">
      <c r="A32" s="12"/>
      <c r="B32" s="12"/>
      <c r="C32" s="12"/>
      <c r="D32" s="12"/>
      <c r="E32" s="14"/>
      <c r="F32" s="14"/>
      <c r="G32" s="12"/>
      <c r="H32" s="12"/>
      <c r="I32" s="15"/>
      <c r="J32" s="36" t="str">
        <f aca="false">IF(I32="","",I32-Cover!$C$7)</f>
        <v/>
      </c>
      <c r="K32" s="38" t="str">
        <f aca="false">IF(AND(I32&lt;&gt;"",N(J32)&gt;=0,N(J32)&lt;=14),I32+ROW()/100000,"")</f>
        <v/>
      </c>
    </row>
    <row r="33" customFormat="false" ht="19.5" hidden="false" customHeight="true" outlineLevel="0" collapsed="false">
      <c r="A33" s="12"/>
      <c r="B33" s="12"/>
      <c r="C33" s="12"/>
      <c r="D33" s="12"/>
      <c r="E33" s="14"/>
      <c r="F33" s="14"/>
      <c r="G33" s="12"/>
      <c r="H33" s="12"/>
      <c r="I33" s="15"/>
      <c r="J33" s="36" t="str">
        <f aca="false">IF(I33="","",I33-Cover!$C$7)</f>
        <v/>
      </c>
      <c r="K33" s="38" t="str">
        <f aca="false">IF(AND(I33&lt;&gt;"",N(J33)&gt;=0,N(J33)&lt;=14),I33+ROW()/100000,"")</f>
        <v/>
      </c>
    </row>
    <row r="34" customFormat="false" ht="19.5" hidden="false" customHeight="true" outlineLevel="0" collapsed="false">
      <c r="A34" s="12"/>
      <c r="B34" s="12"/>
      <c r="C34" s="12"/>
      <c r="D34" s="12"/>
      <c r="E34" s="14"/>
      <c r="F34" s="14"/>
      <c r="G34" s="12"/>
      <c r="H34" s="12"/>
      <c r="I34" s="15"/>
      <c r="J34" s="36" t="str">
        <f aca="false">IF(I34="","",I34-Cover!$C$7)</f>
        <v/>
      </c>
      <c r="K34" s="38" t="str">
        <f aca="false">IF(AND(I34&lt;&gt;"",N(J34)&gt;=0,N(J34)&lt;=14),I34+ROW()/100000,"")</f>
        <v/>
      </c>
    </row>
  </sheetData>
  <mergeCells count="15">
    <mergeCell ref="C21:D21"/>
    <mergeCell ref="E21:F21"/>
    <mergeCell ref="G21:H21"/>
    <mergeCell ref="C22:D22"/>
    <mergeCell ref="E22:F22"/>
    <mergeCell ref="G22:H22"/>
    <mergeCell ref="C23:D23"/>
    <mergeCell ref="E23:F23"/>
    <mergeCell ref="G23:H23"/>
    <mergeCell ref="C24:D24"/>
    <mergeCell ref="E24:F24"/>
    <mergeCell ref="G24:H24"/>
    <mergeCell ref="C25:D25"/>
    <mergeCell ref="E25:F25"/>
    <mergeCell ref="G25:H25"/>
  </mergeCells>
  <conditionalFormatting sqref="J5:J34">
    <cfRule type="cellIs" priority="2" operator="between" aboveAverage="0" equalAverage="0" bottom="0" percent="0" rank="0" text="" dxfId="1">
      <formula>0</formula>
      <formula>7</formula>
    </cfRule>
    <cfRule type="cellIs" priority="3"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28"/>
    <col collapsed="false" customWidth="true" hidden="false" outlineLevel="0" max="4" min="4" style="0" width="32"/>
    <col collapsed="false" customWidth="true" hidden="false" outlineLevel="0" max="6" min="5" style="0" width="18"/>
    <col collapsed="false" customWidth="true" hidden="false" outlineLevel="0" max="7" min="7" style="0" width="16"/>
    <col collapsed="false" customWidth="true" hidden="false" outlineLevel="0" max="8" min="8" style="0" width="24"/>
    <col collapsed="false" customWidth="true" hidden="false" outlineLevel="0" max="9" min="9" style="0" width="12"/>
    <col collapsed="false" customWidth="true" hidden="false" outlineLevel="0" max="10" min="10" style="0" width="13"/>
    <col collapsed="false" customWidth="true" hidden="false" outlineLevel="0" max="11" min="11" style="0" width="8"/>
  </cols>
  <sheetData>
    <row r="1" customFormat="false" ht="19.7" hidden="false" customHeight="false" outlineLevel="0" collapsed="false">
      <c r="A1" s="31" t="s">
        <v>524</v>
      </c>
    </row>
    <row r="2" customFormat="false" ht="15" hidden="false" customHeight="false" outlineLevel="0" collapsed="false">
      <c r="A2" s="17" t="s">
        <v>109</v>
      </c>
    </row>
    <row r="3" customFormat="false" ht="15" hidden="false" customHeight="false" outlineLevel="0" collapsed="false">
      <c r="A3" s="13" t="s">
        <v>525</v>
      </c>
    </row>
    <row r="4" customFormat="false" ht="39.75" hidden="false" customHeight="true" outlineLevel="0" collapsed="false">
      <c r="A4" s="34" t="s">
        <v>82</v>
      </c>
      <c r="B4" s="34" t="s">
        <v>526</v>
      </c>
      <c r="C4" s="34" t="s">
        <v>527</v>
      </c>
      <c r="D4" s="34" t="s">
        <v>13</v>
      </c>
      <c r="E4" s="34" t="s">
        <v>96</v>
      </c>
      <c r="F4" s="34" t="s">
        <v>196</v>
      </c>
      <c r="G4" s="34" t="s">
        <v>195</v>
      </c>
      <c r="H4" s="34" t="s">
        <v>528</v>
      </c>
      <c r="I4" s="34" t="s">
        <v>529</v>
      </c>
      <c r="J4" s="34" t="s">
        <v>98</v>
      </c>
      <c r="K4" s="35" t="s">
        <v>530</v>
      </c>
    </row>
    <row r="5" customFormat="false" ht="45" hidden="false" customHeight="true" outlineLevel="0" collapsed="false">
      <c r="A5" s="39" t="s">
        <v>531</v>
      </c>
      <c r="B5" s="11" t="s">
        <v>532</v>
      </c>
      <c r="C5" s="12" t="s">
        <v>533</v>
      </c>
      <c r="D5" s="12" t="s">
        <v>534</v>
      </c>
      <c r="E5" s="12" t="s">
        <v>167</v>
      </c>
      <c r="F5" s="12" t="s">
        <v>535</v>
      </c>
      <c r="G5" s="12" t="s">
        <v>536</v>
      </c>
      <c r="H5" s="12" t="s">
        <v>537</v>
      </c>
      <c r="I5" s="15" t="n">
        <v>46276</v>
      </c>
      <c r="J5" s="14" t="s">
        <v>538</v>
      </c>
      <c r="K5" s="36" t="n">
        <f aca="false">IF(I5="","",I5-Cover!$C$7)</f>
        <v>1</v>
      </c>
    </row>
    <row r="6" customFormat="false" ht="31.5" hidden="false" customHeight="true" outlineLevel="0" collapsed="false">
      <c r="A6" s="39" t="s">
        <v>539</v>
      </c>
      <c r="B6" s="11" t="s">
        <v>540</v>
      </c>
      <c r="C6" s="12" t="s">
        <v>358</v>
      </c>
      <c r="D6" s="12" t="s">
        <v>541</v>
      </c>
      <c r="E6" s="12" t="s">
        <v>512</v>
      </c>
      <c r="F6" s="12" t="s">
        <v>542</v>
      </c>
      <c r="G6" s="12" t="s">
        <v>223</v>
      </c>
      <c r="H6" s="12" t="s">
        <v>543</v>
      </c>
      <c r="I6" s="15" t="n">
        <v>46287</v>
      </c>
      <c r="J6" s="14" t="s">
        <v>538</v>
      </c>
      <c r="K6" s="36" t="n">
        <f aca="false">IF(I6="","",I6-Cover!$C$7)</f>
        <v>12</v>
      </c>
    </row>
    <row r="7" customFormat="false" ht="31.5" hidden="false" customHeight="true" outlineLevel="0" collapsed="false">
      <c r="A7" s="39" t="s">
        <v>544</v>
      </c>
      <c r="B7" s="11" t="s">
        <v>545</v>
      </c>
      <c r="C7" s="12" t="s">
        <v>546</v>
      </c>
      <c r="D7" s="12" t="s">
        <v>547</v>
      </c>
      <c r="E7" s="12" t="s">
        <v>164</v>
      </c>
      <c r="F7" s="12" t="s">
        <v>548</v>
      </c>
      <c r="G7" s="12" t="s">
        <v>441</v>
      </c>
      <c r="H7" s="12" t="s">
        <v>549</v>
      </c>
      <c r="I7" s="15" t="n">
        <v>46276</v>
      </c>
      <c r="J7" s="14" t="s">
        <v>538</v>
      </c>
      <c r="K7" s="36" t="n">
        <f aca="false">IF(I7="","",I7-Cover!$C$7)</f>
        <v>1</v>
      </c>
    </row>
    <row r="8" customFormat="false" ht="31.5" hidden="false" customHeight="true" outlineLevel="0" collapsed="false">
      <c r="A8" s="39" t="s">
        <v>550</v>
      </c>
      <c r="B8" s="11" t="s">
        <v>551</v>
      </c>
      <c r="C8" s="12" t="s">
        <v>552</v>
      </c>
      <c r="D8" s="12" t="s">
        <v>553</v>
      </c>
      <c r="E8" s="12" t="s">
        <v>167</v>
      </c>
      <c r="F8" s="12" t="s">
        <v>554</v>
      </c>
      <c r="G8" s="12" t="s">
        <v>213</v>
      </c>
      <c r="H8" s="12" t="s">
        <v>555</v>
      </c>
      <c r="I8" s="15" t="n">
        <v>46281</v>
      </c>
      <c r="J8" s="14" t="s">
        <v>538</v>
      </c>
      <c r="K8" s="36" t="n">
        <f aca="false">IF(I8="","",I8-Cover!$C$7)</f>
        <v>6</v>
      </c>
    </row>
    <row r="9" customFormat="false" ht="31.5" hidden="false" customHeight="true" outlineLevel="0" collapsed="false">
      <c r="A9" s="39" t="s">
        <v>556</v>
      </c>
      <c r="B9" s="11" t="s">
        <v>557</v>
      </c>
      <c r="C9" s="12" t="s">
        <v>558</v>
      </c>
      <c r="D9" s="12" t="s">
        <v>559</v>
      </c>
      <c r="E9" s="12" t="s">
        <v>164</v>
      </c>
      <c r="F9" s="12" t="s">
        <v>560</v>
      </c>
      <c r="G9" s="12" t="s">
        <v>472</v>
      </c>
      <c r="H9" s="12" t="s">
        <v>561</v>
      </c>
      <c r="I9" s="15" t="n">
        <v>46280</v>
      </c>
      <c r="J9" s="14" t="s">
        <v>562</v>
      </c>
      <c r="K9" s="36" t="n">
        <f aca="false">IF(I9="","",I9-Cover!$C$7)</f>
        <v>5</v>
      </c>
    </row>
    <row r="10" customFormat="false" ht="31.5" hidden="false" customHeight="true" outlineLevel="0" collapsed="false">
      <c r="A10" s="39" t="s">
        <v>563</v>
      </c>
      <c r="B10" s="11" t="s">
        <v>564</v>
      </c>
      <c r="C10" s="12" t="s">
        <v>565</v>
      </c>
      <c r="D10" s="12" t="s">
        <v>566</v>
      </c>
      <c r="E10" s="12" t="s">
        <v>164</v>
      </c>
      <c r="F10" s="12" t="s">
        <v>255</v>
      </c>
      <c r="G10" s="12" t="s">
        <v>223</v>
      </c>
      <c r="H10" s="12" t="s">
        <v>567</v>
      </c>
      <c r="I10" s="15" t="n">
        <v>46281</v>
      </c>
      <c r="J10" s="14" t="s">
        <v>538</v>
      </c>
      <c r="K10" s="36" t="n">
        <f aca="false">IF(I10="","",I10-Cover!$C$7)</f>
        <v>6</v>
      </c>
    </row>
    <row r="11" customFormat="false" ht="31.5" hidden="false" customHeight="true" outlineLevel="0" collapsed="false">
      <c r="A11" s="39" t="s">
        <v>568</v>
      </c>
      <c r="B11" s="11" t="s">
        <v>569</v>
      </c>
      <c r="C11" s="12" t="s">
        <v>570</v>
      </c>
      <c r="D11" s="12" t="s">
        <v>571</v>
      </c>
      <c r="E11" s="12" t="s">
        <v>164</v>
      </c>
      <c r="F11" s="12" t="s">
        <v>572</v>
      </c>
      <c r="G11" s="12" t="s">
        <v>349</v>
      </c>
      <c r="H11" s="12" t="s">
        <v>573</v>
      </c>
      <c r="I11" s="15" t="n">
        <v>46276</v>
      </c>
      <c r="J11" s="14" t="s">
        <v>538</v>
      </c>
      <c r="K11" s="36" t="n">
        <f aca="false">IF(I11="","",I11-Cover!$C$7)</f>
        <v>1</v>
      </c>
    </row>
    <row r="12" customFormat="false" ht="31.5" hidden="false" customHeight="true" outlineLevel="0" collapsed="false">
      <c r="A12" s="39" t="s">
        <v>574</v>
      </c>
      <c r="B12" s="11" t="s">
        <v>575</v>
      </c>
      <c r="C12" s="12" t="s">
        <v>576</v>
      </c>
      <c r="D12" s="12" t="s">
        <v>577</v>
      </c>
      <c r="E12" s="12" t="s">
        <v>578</v>
      </c>
      <c r="F12" s="12" t="s">
        <v>579</v>
      </c>
      <c r="G12" s="12" t="s">
        <v>491</v>
      </c>
      <c r="H12" s="12" t="s">
        <v>580</v>
      </c>
      <c r="I12" s="15" t="n">
        <v>46328</v>
      </c>
      <c r="J12" s="14" t="s">
        <v>581</v>
      </c>
      <c r="K12" s="36" t="n">
        <f aca="false">IF(I12="","",I12-Cover!$C$7)</f>
        <v>53</v>
      </c>
    </row>
    <row r="13" customFormat="false" ht="31.5" hidden="false" customHeight="true" outlineLevel="0" collapsed="false">
      <c r="A13" s="39" t="s">
        <v>582</v>
      </c>
      <c r="B13" s="11" t="s">
        <v>583</v>
      </c>
      <c r="C13" s="12" t="s">
        <v>584</v>
      </c>
      <c r="D13" s="12" t="s">
        <v>585</v>
      </c>
      <c r="E13" s="12" t="s">
        <v>305</v>
      </c>
      <c r="F13" s="12" t="s">
        <v>586</v>
      </c>
      <c r="G13" s="12" t="s">
        <v>587</v>
      </c>
      <c r="H13" s="12" t="s">
        <v>588</v>
      </c>
      <c r="I13" s="15" t="n">
        <v>46296</v>
      </c>
      <c r="J13" s="14" t="s">
        <v>581</v>
      </c>
      <c r="K13" s="36" t="n">
        <f aca="false">IF(I13="","",I13-Cover!$C$7)</f>
        <v>21</v>
      </c>
    </row>
    <row r="14" customFormat="false" ht="45" hidden="false" customHeight="true" outlineLevel="0" collapsed="false">
      <c r="A14" s="39" t="s">
        <v>589</v>
      </c>
      <c r="B14" s="11" t="s">
        <v>590</v>
      </c>
      <c r="C14" s="12" t="s">
        <v>591</v>
      </c>
      <c r="D14" s="12" t="s">
        <v>592</v>
      </c>
      <c r="E14" s="12" t="s">
        <v>593</v>
      </c>
      <c r="F14" s="12" t="s">
        <v>594</v>
      </c>
      <c r="G14" s="12" t="s">
        <v>595</v>
      </c>
      <c r="H14" s="12" t="s">
        <v>596</v>
      </c>
      <c r="I14" s="15" t="n">
        <v>46363</v>
      </c>
      <c r="J14" s="14" t="s">
        <v>581</v>
      </c>
      <c r="K14" s="36" t="n">
        <f aca="false">IF(I14="","",I14-Cover!$C$7)</f>
        <v>88</v>
      </c>
    </row>
    <row r="15" customFormat="false" ht="31.5" hidden="false" customHeight="true" outlineLevel="0" collapsed="false">
      <c r="A15" s="39" t="s">
        <v>597</v>
      </c>
      <c r="B15" s="11" t="s">
        <v>598</v>
      </c>
      <c r="C15" s="12" t="s">
        <v>599</v>
      </c>
      <c r="D15" s="12" t="s">
        <v>600</v>
      </c>
      <c r="E15" s="12" t="s">
        <v>164</v>
      </c>
      <c r="F15" s="12" t="s">
        <v>601</v>
      </c>
      <c r="G15" s="12" t="s">
        <v>602</v>
      </c>
      <c r="H15" s="12" t="s">
        <v>598</v>
      </c>
      <c r="I15" s="15" t="n">
        <v>46457</v>
      </c>
      <c r="J15" s="14" t="s">
        <v>581</v>
      </c>
      <c r="K15" s="36" t="n">
        <f aca="false">IF(I15="","",I15-Cover!$C$7)</f>
        <v>182</v>
      </c>
    </row>
    <row r="16" customFormat="false" ht="31.5" hidden="false" customHeight="true" outlineLevel="0" collapsed="false">
      <c r="A16" s="39" t="s">
        <v>603</v>
      </c>
      <c r="B16" s="11" t="s">
        <v>604</v>
      </c>
      <c r="C16" s="12" t="s">
        <v>605</v>
      </c>
      <c r="D16" s="12" t="s">
        <v>606</v>
      </c>
      <c r="E16" s="12" t="s">
        <v>167</v>
      </c>
      <c r="F16" s="12" t="s">
        <v>607</v>
      </c>
      <c r="G16" s="12" t="s">
        <v>160</v>
      </c>
      <c r="H16" s="12" t="s">
        <v>608</v>
      </c>
      <c r="I16" s="15" t="n">
        <v>46280</v>
      </c>
      <c r="J16" s="14" t="s">
        <v>562</v>
      </c>
      <c r="K16" s="36" t="n">
        <f aca="false">IF(I16="","",I16-Cover!$C$7)</f>
        <v>5</v>
      </c>
    </row>
    <row r="17" customFormat="false" ht="19.5" hidden="false" customHeight="true" outlineLevel="0" collapsed="false">
      <c r="A17" s="14"/>
      <c r="B17" s="12"/>
      <c r="C17" s="12"/>
      <c r="D17" s="12"/>
      <c r="E17" s="12"/>
      <c r="F17" s="12"/>
      <c r="G17" s="12"/>
      <c r="H17" s="12"/>
      <c r="I17" s="15"/>
      <c r="J17" s="14"/>
      <c r="K17" s="36" t="str">
        <f aca="false">IF(I17="","",I17-Cover!$C$7)</f>
        <v/>
      </c>
    </row>
    <row r="18" customFormat="false" ht="19.5" hidden="false" customHeight="true" outlineLevel="0" collapsed="false">
      <c r="A18" s="14"/>
      <c r="B18" s="12"/>
      <c r="C18" s="12"/>
      <c r="D18" s="12"/>
      <c r="E18" s="12"/>
      <c r="F18" s="12"/>
      <c r="G18" s="12"/>
      <c r="H18" s="12"/>
      <c r="I18" s="15"/>
      <c r="J18" s="14"/>
      <c r="K18" s="36" t="str">
        <f aca="false">IF(I18="","",I18-Cover!$C$7)</f>
        <v/>
      </c>
    </row>
    <row r="19" customFormat="false" ht="19.5" hidden="false" customHeight="true" outlineLevel="0" collapsed="false">
      <c r="A19" s="14"/>
      <c r="B19" s="12"/>
      <c r="C19" s="12"/>
      <c r="D19" s="12"/>
      <c r="E19" s="12"/>
      <c r="F19" s="12"/>
      <c r="G19" s="12"/>
      <c r="H19" s="12"/>
      <c r="I19" s="15"/>
      <c r="J19" s="14"/>
      <c r="K19" s="36" t="str">
        <f aca="false">IF(I19="","",I19-Cover!$C$7)</f>
        <v/>
      </c>
    </row>
    <row r="20" customFormat="false" ht="19.5" hidden="false" customHeight="true" outlineLevel="0" collapsed="false">
      <c r="A20" s="14"/>
      <c r="B20" s="12"/>
      <c r="C20" s="12"/>
      <c r="D20" s="12"/>
      <c r="E20" s="12"/>
      <c r="F20" s="12"/>
      <c r="G20" s="12"/>
      <c r="H20" s="12"/>
      <c r="I20" s="15"/>
      <c r="J20" s="14"/>
      <c r="K20" s="36" t="str">
        <f aca="false">IF(I20="","",I20-Cover!$C$7)</f>
        <v/>
      </c>
    </row>
    <row r="21" customFormat="false" ht="19.5" hidden="false" customHeight="true" outlineLevel="0" collapsed="false">
      <c r="A21" s="14"/>
      <c r="B21" s="12"/>
      <c r="C21" s="12"/>
      <c r="D21" s="12"/>
      <c r="E21" s="12"/>
      <c r="F21" s="12"/>
      <c r="G21" s="12"/>
      <c r="H21" s="12"/>
      <c r="I21" s="15"/>
      <c r="J21" s="14"/>
      <c r="K21" s="36" t="str">
        <f aca="false">IF(I21="","",I21-Cover!$C$7)</f>
        <v/>
      </c>
    </row>
    <row r="22" customFormat="false" ht="19.5" hidden="false" customHeight="true" outlineLevel="0" collapsed="false">
      <c r="A22" s="14"/>
      <c r="B22" s="12"/>
      <c r="C22" s="12"/>
      <c r="D22" s="12"/>
      <c r="E22" s="12"/>
      <c r="F22" s="12"/>
      <c r="G22" s="12"/>
      <c r="H22" s="12"/>
      <c r="I22" s="15"/>
      <c r="J22" s="14"/>
      <c r="K22" s="36" t="str">
        <f aca="false">IF(I22="","",I22-Cover!$C$7)</f>
        <v/>
      </c>
    </row>
    <row r="23" customFormat="false" ht="19.5" hidden="false" customHeight="true" outlineLevel="0" collapsed="false">
      <c r="A23" s="14"/>
      <c r="B23" s="12"/>
      <c r="C23" s="12"/>
      <c r="D23" s="12"/>
      <c r="E23" s="12"/>
      <c r="F23" s="12"/>
      <c r="G23" s="12"/>
      <c r="H23" s="12"/>
      <c r="I23" s="15"/>
      <c r="J23" s="14"/>
      <c r="K23" s="36" t="str">
        <f aca="false">IF(I23="","",I23-Cover!$C$7)</f>
        <v/>
      </c>
    </row>
    <row r="24" customFormat="false" ht="19.5" hidden="false" customHeight="true" outlineLevel="0" collapsed="false">
      <c r="A24" s="14"/>
      <c r="B24" s="12"/>
      <c r="C24" s="12"/>
      <c r="D24" s="12"/>
      <c r="E24" s="12"/>
      <c r="F24" s="12"/>
      <c r="G24" s="12"/>
      <c r="H24" s="12"/>
      <c r="I24" s="15"/>
      <c r="J24" s="14"/>
      <c r="K24" s="36" t="str">
        <f aca="false">IF(I24="","",I24-Cover!$C$7)</f>
        <v/>
      </c>
    </row>
    <row r="25" customFormat="false" ht="19.5" hidden="false" customHeight="true" outlineLevel="0" collapsed="false">
      <c r="A25" s="14"/>
      <c r="B25" s="12"/>
      <c r="C25" s="12"/>
      <c r="D25" s="12"/>
      <c r="E25" s="12"/>
      <c r="F25" s="12"/>
      <c r="G25" s="12"/>
      <c r="H25" s="12"/>
      <c r="I25" s="15"/>
      <c r="J25" s="14"/>
      <c r="K25" s="36" t="str">
        <f aca="false">IF(I25="","",I25-Cover!$C$7)</f>
        <v/>
      </c>
    </row>
    <row r="26" customFormat="false" ht="19.5" hidden="false" customHeight="true" outlineLevel="0" collapsed="false">
      <c r="A26" s="14"/>
      <c r="B26" s="12"/>
      <c r="C26" s="12"/>
      <c r="D26" s="12"/>
      <c r="E26" s="12"/>
      <c r="F26" s="12"/>
      <c r="G26" s="12"/>
      <c r="H26" s="12"/>
      <c r="I26" s="15"/>
      <c r="J26" s="14"/>
      <c r="K26" s="36" t="str">
        <f aca="false">IF(I26="","",I26-Cover!$C$7)</f>
        <v/>
      </c>
    </row>
    <row r="27" customFormat="false" ht="19.5" hidden="false" customHeight="true" outlineLevel="0" collapsed="false">
      <c r="A27" s="14"/>
      <c r="B27" s="12"/>
      <c r="C27" s="12"/>
      <c r="D27" s="12"/>
      <c r="E27" s="12"/>
      <c r="F27" s="12"/>
      <c r="G27" s="12"/>
      <c r="H27" s="12"/>
      <c r="I27" s="15"/>
      <c r="J27" s="14"/>
      <c r="K27" s="36" t="str">
        <f aca="false">IF(I27="","",I27-Cover!$C$7)</f>
        <v/>
      </c>
    </row>
    <row r="28" customFormat="false" ht="19.5" hidden="false" customHeight="true" outlineLevel="0" collapsed="false">
      <c r="A28" s="14"/>
      <c r="B28" s="12"/>
      <c r="C28" s="12"/>
      <c r="D28" s="12"/>
      <c r="E28" s="12"/>
      <c r="F28" s="12"/>
      <c r="G28" s="12"/>
      <c r="H28" s="12"/>
      <c r="I28" s="15"/>
      <c r="J28" s="14"/>
      <c r="K28" s="36" t="str">
        <f aca="false">IF(I28="","",I28-Cover!$C$7)</f>
        <v/>
      </c>
    </row>
    <row r="29" customFormat="false" ht="19.5" hidden="false" customHeight="true" outlineLevel="0" collapsed="false">
      <c r="A29" s="14"/>
      <c r="B29" s="12"/>
      <c r="C29" s="12"/>
      <c r="D29" s="12"/>
      <c r="E29" s="12"/>
      <c r="F29" s="12"/>
      <c r="G29" s="12"/>
      <c r="H29" s="12"/>
      <c r="I29" s="15"/>
      <c r="J29" s="14"/>
      <c r="K29" s="36" t="str">
        <f aca="false">IF(I29="","",I29-Cover!$C$7)</f>
        <v/>
      </c>
    </row>
    <row r="30" customFormat="false" ht="19.5" hidden="false" customHeight="true" outlineLevel="0" collapsed="false">
      <c r="A30" s="14"/>
      <c r="B30" s="12"/>
      <c r="C30" s="12"/>
      <c r="D30" s="12"/>
      <c r="E30" s="12"/>
      <c r="F30" s="12"/>
      <c r="G30" s="12"/>
      <c r="H30" s="12"/>
      <c r="I30" s="15"/>
      <c r="J30" s="14"/>
      <c r="K30" s="36" t="str">
        <f aca="false">IF(I30="","",I30-Cover!$C$7)</f>
        <v/>
      </c>
    </row>
    <row r="31" customFormat="false" ht="19.5" hidden="false" customHeight="true" outlineLevel="0" collapsed="false">
      <c r="A31" s="14"/>
      <c r="B31" s="12"/>
      <c r="C31" s="12"/>
      <c r="D31" s="12"/>
      <c r="E31" s="12"/>
      <c r="F31" s="12"/>
      <c r="G31" s="12"/>
      <c r="H31" s="12"/>
      <c r="I31" s="15"/>
      <c r="J31" s="14"/>
      <c r="K31" s="36" t="str">
        <f aca="false">IF(I31="","",I31-Cover!$C$7)</f>
        <v/>
      </c>
    </row>
    <row r="32" customFormat="false" ht="19.5" hidden="false" customHeight="true" outlineLevel="0" collapsed="false">
      <c r="A32" s="14"/>
      <c r="B32" s="12"/>
      <c r="C32" s="12"/>
      <c r="D32" s="12"/>
      <c r="E32" s="12"/>
      <c r="F32" s="12"/>
      <c r="G32" s="12"/>
      <c r="H32" s="12"/>
      <c r="I32" s="15"/>
      <c r="J32" s="14"/>
      <c r="K32" s="36" t="str">
        <f aca="false">IF(I32="","",I32-Cover!$C$7)</f>
        <v/>
      </c>
    </row>
    <row r="33" customFormat="false" ht="19.5" hidden="false" customHeight="true" outlineLevel="0" collapsed="false">
      <c r="A33" s="14"/>
      <c r="B33" s="12"/>
      <c r="C33" s="12"/>
      <c r="D33" s="12"/>
      <c r="E33" s="12"/>
      <c r="F33" s="12"/>
      <c r="G33" s="12"/>
      <c r="H33" s="12"/>
      <c r="I33" s="15"/>
      <c r="J33" s="14"/>
      <c r="K33" s="36" t="str">
        <f aca="false">IF(I33="","",I33-Cover!$C$7)</f>
        <v/>
      </c>
    </row>
    <row r="34" customFormat="false" ht="19.5" hidden="false" customHeight="true" outlineLevel="0" collapsed="false">
      <c r="A34" s="14"/>
      <c r="B34" s="12"/>
      <c r="C34" s="12"/>
      <c r="D34" s="12"/>
      <c r="E34" s="12"/>
      <c r="F34" s="12"/>
      <c r="G34" s="12"/>
      <c r="H34" s="12"/>
      <c r="I34" s="15"/>
      <c r="J34" s="14"/>
      <c r="K34" s="36" t="str">
        <f aca="false">IF(I34="","",I34-Cover!$C$7)</f>
        <v/>
      </c>
    </row>
    <row r="35" customFormat="false" ht="19.5" hidden="false" customHeight="true" outlineLevel="0" collapsed="false">
      <c r="A35" s="14"/>
      <c r="B35" s="12"/>
      <c r="C35" s="12"/>
      <c r="D35" s="12"/>
      <c r="E35" s="12"/>
      <c r="F35" s="12"/>
      <c r="G35" s="12"/>
      <c r="H35" s="12"/>
      <c r="I35" s="15"/>
      <c r="J35" s="14"/>
      <c r="K35" s="36" t="str">
        <f aca="false">IF(I35="","",I35-Cover!$C$7)</f>
        <v/>
      </c>
    </row>
    <row r="36" customFormat="false" ht="19.5" hidden="false" customHeight="true" outlineLevel="0" collapsed="false">
      <c r="A36" s="14"/>
      <c r="B36" s="12"/>
      <c r="C36" s="12"/>
      <c r="D36" s="12"/>
      <c r="E36" s="12"/>
      <c r="F36" s="12"/>
      <c r="G36" s="12"/>
      <c r="H36" s="12"/>
      <c r="I36" s="15"/>
      <c r="J36" s="14"/>
      <c r="K36" s="36" t="str">
        <f aca="false">IF(I36="","",I36-Cover!$C$7)</f>
        <v/>
      </c>
    </row>
    <row r="37" customFormat="false" ht="19.5" hidden="false" customHeight="true" outlineLevel="0" collapsed="false">
      <c r="A37" s="14"/>
      <c r="B37" s="12"/>
      <c r="C37" s="12"/>
      <c r="D37" s="12"/>
      <c r="E37" s="12"/>
      <c r="F37" s="12"/>
      <c r="G37" s="12"/>
      <c r="H37" s="12"/>
      <c r="I37" s="15"/>
      <c r="J37" s="14"/>
      <c r="K37" s="36" t="str">
        <f aca="false">IF(I37="","",I37-Cover!$C$7)</f>
        <v/>
      </c>
    </row>
    <row r="38" customFormat="false" ht="19.5" hidden="false" customHeight="true" outlineLevel="0" collapsed="false">
      <c r="A38" s="14"/>
      <c r="B38" s="12"/>
      <c r="C38" s="12"/>
      <c r="D38" s="12"/>
      <c r="E38" s="12"/>
      <c r="F38" s="12"/>
      <c r="G38" s="12"/>
      <c r="H38" s="12"/>
      <c r="I38" s="15"/>
      <c r="J38" s="14"/>
      <c r="K38" s="36" t="str">
        <f aca="false">IF(I38="","",I38-Cover!$C$7)</f>
        <v/>
      </c>
    </row>
    <row r="39" customFormat="false" ht="19.5" hidden="false" customHeight="true" outlineLevel="0" collapsed="false">
      <c r="A39" s="14"/>
      <c r="B39" s="12"/>
      <c r="C39" s="12"/>
      <c r="D39" s="12"/>
      <c r="E39" s="12"/>
      <c r="F39" s="12"/>
      <c r="G39" s="12"/>
      <c r="H39" s="12"/>
      <c r="I39" s="15"/>
      <c r="J39" s="14"/>
      <c r="K39" s="36" t="str">
        <f aca="false">IF(I39="","",I39-Cover!$C$7)</f>
        <v/>
      </c>
    </row>
    <row r="40" customFormat="false" ht="19.5" hidden="false" customHeight="true" outlineLevel="0" collapsed="false">
      <c r="A40" s="14"/>
      <c r="B40" s="12"/>
      <c r="C40" s="12"/>
      <c r="D40" s="12"/>
      <c r="E40" s="12"/>
      <c r="F40" s="12"/>
      <c r="G40" s="12"/>
      <c r="H40" s="12"/>
      <c r="I40" s="15"/>
      <c r="J40" s="14"/>
      <c r="K40" s="36" t="str">
        <f aca="false">IF(I40="","",I40-Cover!$C$7)</f>
        <v/>
      </c>
    </row>
    <row r="41" customFormat="false" ht="19.5" hidden="false" customHeight="true" outlineLevel="0" collapsed="false">
      <c r="A41" s="14"/>
      <c r="B41" s="12"/>
      <c r="C41" s="12"/>
      <c r="D41" s="12"/>
      <c r="E41" s="12"/>
      <c r="F41" s="12"/>
      <c r="G41" s="12"/>
      <c r="H41" s="12"/>
      <c r="I41" s="15"/>
      <c r="J41" s="14"/>
      <c r="K41" s="36" t="str">
        <f aca="false">IF(I41="","",I41-Cover!$C$7)</f>
        <v/>
      </c>
    </row>
    <row r="42" customFormat="false" ht="19.5" hidden="false" customHeight="true" outlineLevel="0" collapsed="false">
      <c r="A42" s="14"/>
      <c r="B42" s="12"/>
      <c r="C42" s="12"/>
      <c r="D42" s="12"/>
      <c r="E42" s="12"/>
      <c r="F42" s="12"/>
      <c r="G42" s="12"/>
      <c r="H42" s="12"/>
      <c r="I42" s="15"/>
      <c r="J42" s="14"/>
      <c r="K42" s="36" t="str">
        <f aca="false">IF(I42="","",I42-Cover!$C$7)</f>
        <v/>
      </c>
    </row>
    <row r="43" customFormat="false" ht="19.5" hidden="false" customHeight="true" outlineLevel="0" collapsed="false">
      <c r="A43" s="14"/>
      <c r="B43" s="12"/>
      <c r="C43" s="12"/>
      <c r="D43" s="12"/>
      <c r="E43" s="12"/>
      <c r="F43" s="12"/>
      <c r="G43" s="12"/>
      <c r="H43" s="12"/>
      <c r="I43" s="15"/>
      <c r="J43" s="14"/>
      <c r="K43" s="36" t="str">
        <f aca="false">IF(I43="","",I43-Cover!$C$7)</f>
        <v/>
      </c>
    </row>
    <row r="44" customFormat="false" ht="19.5" hidden="false" customHeight="true" outlineLevel="0" collapsed="false">
      <c r="A44" s="14"/>
      <c r="B44" s="12"/>
      <c r="C44" s="12"/>
      <c r="D44" s="12"/>
      <c r="E44" s="12"/>
      <c r="F44" s="12"/>
      <c r="G44" s="12"/>
      <c r="H44" s="12"/>
      <c r="I44" s="15"/>
      <c r="J44" s="14"/>
      <c r="K44" s="36" t="str">
        <f aca="false">IF(I44="","",I44-Cover!$C$7)</f>
        <v/>
      </c>
    </row>
    <row r="45" customFormat="false" ht="19.5" hidden="false" customHeight="true" outlineLevel="0" collapsed="false">
      <c r="A45" s="14"/>
      <c r="B45" s="12"/>
      <c r="C45" s="12"/>
      <c r="D45" s="12"/>
      <c r="E45" s="12"/>
      <c r="F45" s="12"/>
      <c r="G45" s="12"/>
      <c r="H45" s="12"/>
      <c r="I45" s="15"/>
      <c r="J45" s="14"/>
      <c r="K45" s="36" t="str">
        <f aca="false">IF(I45="","",I45-Cover!$C$7)</f>
        <v/>
      </c>
    </row>
    <row r="46" customFormat="false" ht="19.5" hidden="false" customHeight="true" outlineLevel="0" collapsed="false">
      <c r="A46" s="14"/>
      <c r="B46" s="12"/>
      <c r="C46" s="12"/>
      <c r="D46" s="12"/>
      <c r="E46" s="12"/>
      <c r="F46" s="12"/>
      <c r="G46" s="12"/>
      <c r="H46" s="12"/>
      <c r="I46" s="15"/>
      <c r="J46" s="14"/>
      <c r="K46" s="36" t="str">
        <f aca="false">IF(I46="","",I46-Cover!$C$7)</f>
        <v/>
      </c>
    </row>
    <row r="47" customFormat="false" ht="19.5" hidden="false" customHeight="true" outlineLevel="0" collapsed="false">
      <c r="A47" s="14"/>
      <c r="B47" s="12"/>
      <c r="C47" s="12"/>
      <c r="D47" s="12"/>
      <c r="E47" s="12"/>
      <c r="F47" s="12"/>
      <c r="G47" s="12"/>
      <c r="H47" s="12"/>
      <c r="I47" s="15"/>
      <c r="J47" s="14"/>
      <c r="K47" s="36" t="str">
        <f aca="false">IF(I47="","",I47-Cover!$C$7)</f>
        <v/>
      </c>
    </row>
    <row r="48" customFormat="false" ht="19.5" hidden="false" customHeight="true" outlineLevel="0" collapsed="false">
      <c r="A48" s="14"/>
      <c r="B48" s="12"/>
      <c r="C48" s="12"/>
      <c r="D48" s="12"/>
      <c r="E48" s="12"/>
      <c r="F48" s="12"/>
      <c r="G48" s="12"/>
      <c r="H48" s="12"/>
      <c r="I48" s="15"/>
      <c r="J48" s="14"/>
      <c r="K48" s="36" t="str">
        <f aca="false">IF(I48="","",I48-Cover!$C$7)</f>
        <v/>
      </c>
    </row>
    <row r="49" customFormat="false" ht="19.5" hidden="false" customHeight="true" outlineLevel="0" collapsed="false">
      <c r="A49" s="14"/>
      <c r="B49" s="12"/>
      <c r="C49" s="12"/>
      <c r="D49" s="12"/>
      <c r="E49" s="12"/>
      <c r="F49" s="12"/>
      <c r="G49" s="12"/>
      <c r="H49" s="12"/>
      <c r="I49" s="15"/>
      <c r="J49" s="14"/>
      <c r="K49" s="36" t="str">
        <f aca="false">IF(I49="","",I49-Cover!$C$7)</f>
        <v/>
      </c>
    </row>
    <row r="50" customFormat="false" ht="19.5" hidden="false" customHeight="true" outlineLevel="0" collapsed="false">
      <c r="A50" s="14"/>
      <c r="B50" s="12"/>
      <c r="C50" s="12"/>
      <c r="D50" s="12"/>
      <c r="E50" s="12"/>
      <c r="F50" s="12"/>
      <c r="G50" s="12"/>
      <c r="H50" s="12"/>
      <c r="I50" s="15"/>
      <c r="J50" s="14"/>
      <c r="K50" s="36" t="str">
        <f aca="false">IF(I50="","",I50-Cover!$C$7)</f>
        <v/>
      </c>
    </row>
    <row r="51" customFormat="false" ht="19.5" hidden="false" customHeight="true" outlineLevel="0" collapsed="false">
      <c r="A51" s="14"/>
      <c r="B51" s="12"/>
      <c r="C51" s="12"/>
      <c r="D51" s="12"/>
      <c r="E51" s="12"/>
      <c r="F51" s="12"/>
      <c r="G51" s="12"/>
      <c r="H51" s="12"/>
      <c r="I51" s="15"/>
      <c r="J51" s="14"/>
      <c r="K51" s="36" t="str">
        <f aca="false">IF(I51="","",I51-Cover!$C$7)</f>
        <v/>
      </c>
    </row>
    <row r="52" customFormat="false" ht="19.5" hidden="false" customHeight="true" outlineLevel="0" collapsed="false">
      <c r="A52" s="14"/>
      <c r="B52" s="12"/>
      <c r="C52" s="12"/>
      <c r="D52" s="12"/>
      <c r="E52" s="12"/>
      <c r="F52" s="12"/>
      <c r="G52" s="12"/>
      <c r="H52" s="12"/>
      <c r="I52" s="15"/>
      <c r="J52" s="14"/>
      <c r="K52" s="36" t="str">
        <f aca="false">IF(I52="","",I52-Cover!$C$7)</f>
        <v/>
      </c>
    </row>
    <row r="53" customFormat="false" ht="19.5" hidden="false" customHeight="true" outlineLevel="0" collapsed="false">
      <c r="A53" s="14"/>
      <c r="B53" s="12"/>
      <c r="C53" s="12"/>
      <c r="D53" s="12"/>
      <c r="E53" s="12"/>
      <c r="F53" s="12"/>
      <c r="G53" s="12"/>
      <c r="H53" s="12"/>
      <c r="I53" s="15"/>
      <c r="J53" s="14"/>
      <c r="K53" s="36" t="str">
        <f aca="false">IF(I53="","",I53-Cover!$C$7)</f>
        <v/>
      </c>
    </row>
    <row r="54" customFormat="false" ht="19.5" hidden="false" customHeight="true" outlineLevel="0" collapsed="false">
      <c r="A54" s="14"/>
      <c r="B54" s="12"/>
      <c r="C54" s="12"/>
      <c r="D54" s="12"/>
      <c r="E54" s="12"/>
      <c r="F54" s="12"/>
      <c r="G54" s="12"/>
      <c r="H54" s="12"/>
      <c r="I54" s="15"/>
      <c r="J54" s="14"/>
      <c r="K54" s="36" t="str">
        <f aca="false">IF(I54="","",I54-Cover!$C$7)</f>
        <v/>
      </c>
    </row>
  </sheetData>
  <autoFilter ref="A4:K16"/>
  <conditionalFormatting sqref="J5:J54">
    <cfRule type="cellIs" priority="2" operator="equal" aboveAverage="0" equalAverage="0" bottom="0" percent="0" rank="0" text="" dxfId="20">
      <formula>"Active"</formula>
    </cfRule>
    <cfRule type="cellIs" priority="3" operator="equal" aboveAverage="0" equalAverage="0" bottom="0" percent="0" rank="0" text="" dxfId="1">
      <formula>"In Preparation"</formula>
    </cfRule>
    <cfRule type="cellIs" priority="4" operator="equal" aboveAverage="0" equalAverage="0" bottom="0" percent="0" rank="0" text="" dxfId="2">
      <formula>"Planned"</formula>
    </cfRule>
    <cfRule type="cellIs" priority="5" operator="equal" aboveAverage="0" equalAverage="0" bottom="0" percent="0" rank="0" text="" dxfId="19">
      <formula>"Sent"</formula>
    </cfRule>
  </conditionalFormatting>
  <conditionalFormatting sqref="K5:K54">
    <cfRule type="cellIs" priority="6" operator="lessThan" aboveAverage="0" equalAverage="0" bottom="0" percent="0" rank="0" text="" dxfId="0">
      <formula>0</formula>
    </cfRule>
  </conditionalFormatting>
  <dataValidations count="1">
    <dataValidation allowBlank="true" errorStyle="stop" operator="between" showDropDown="false" showErrorMessage="false" showInputMessage="false" sqref="J5:J54" type="list">
      <formula1>"Planned,In Preparation,Active,Sent,Retired"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6"/>
    <col collapsed="false" customWidth="true" hidden="false" outlineLevel="0" max="4" min="4" style="0" width="38"/>
    <col collapsed="false" customWidth="true" hidden="false" outlineLevel="0" max="5" min="5" style="0" width="20"/>
    <col collapsed="false" customWidth="true" hidden="false" outlineLevel="0" max="6" min="6" style="0" width="16"/>
    <col collapsed="false" customWidth="true" hidden="false" outlineLevel="0" max="7" min="7" style="0" width="12"/>
    <col collapsed="false" customWidth="true" hidden="false" outlineLevel="0" max="8" min="8" style="0" width="13"/>
    <col collapsed="false" customWidth="true" hidden="false" outlineLevel="0" max="9" min="9" style="0" width="26"/>
    <col collapsed="false" customWidth="true" hidden="false" outlineLevel="0" max="10" min="10" style="0" width="9"/>
    <col collapsed="false" customWidth="true" hidden="true" outlineLevel="0" max="11" min="11" style="0" width="5"/>
  </cols>
  <sheetData>
    <row r="1" customFormat="false" ht="19.7" hidden="false" customHeight="false" outlineLevel="0" collapsed="false">
      <c r="A1" s="31" t="s">
        <v>609</v>
      </c>
    </row>
    <row r="2" customFormat="false" ht="15" hidden="false" customHeight="false" outlineLevel="0" collapsed="false">
      <c r="A2" s="17" t="s">
        <v>109</v>
      </c>
    </row>
    <row r="3" customFormat="false" ht="15" hidden="false" customHeight="false" outlineLevel="0" collapsed="false">
      <c r="A3" s="13" t="s">
        <v>610</v>
      </c>
    </row>
    <row r="4" customFormat="false" ht="39.75" hidden="false" customHeight="true" outlineLevel="0" collapsed="false">
      <c r="A4" s="34" t="s">
        <v>82</v>
      </c>
      <c r="B4" s="34" t="s">
        <v>95</v>
      </c>
      <c r="C4" s="34" t="s">
        <v>129</v>
      </c>
      <c r="D4" s="34" t="s">
        <v>611</v>
      </c>
      <c r="E4" s="34" t="s">
        <v>96</v>
      </c>
      <c r="F4" s="34" t="s">
        <v>97</v>
      </c>
      <c r="G4" s="34" t="s">
        <v>612</v>
      </c>
      <c r="H4" s="34" t="s">
        <v>98</v>
      </c>
      <c r="I4" s="34" t="s">
        <v>613</v>
      </c>
      <c r="J4" s="35" t="s">
        <v>99</v>
      </c>
      <c r="K4" s="35" t="s">
        <v>614</v>
      </c>
    </row>
    <row r="5" customFormat="false" ht="31.5" hidden="false" customHeight="true" outlineLevel="0" collapsed="false">
      <c r="A5" s="39" t="s">
        <v>615</v>
      </c>
      <c r="B5" s="11" t="s">
        <v>616</v>
      </c>
      <c r="C5" s="14" t="s">
        <v>133</v>
      </c>
      <c r="D5" s="12" t="s">
        <v>617</v>
      </c>
      <c r="E5" s="12" t="s">
        <v>164</v>
      </c>
      <c r="F5" s="12" t="s">
        <v>158</v>
      </c>
      <c r="G5" s="15" t="n">
        <v>46213</v>
      </c>
      <c r="H5" s="14" t="s">
        <v>618</v>
      </c>
      <c r="I5" s="12" t="s">
        <v>619</v>
      </c>
      <c r="J5" s="36" t="str">
        <f aca="false">IF(OR(A5="",G5=""),"",IF(AND(G5&lt;Cover!$C$7,H5&lt;&gt;"Approved",H5&lt;&gt;"Live document"),"Overdue","No"))</f>
        <v>No</v>
      </c>
      <c r="K5" s="38" t="str">
        <f aca="false">IF(AND(G5&lt;&gt;"",H5&lt;&gt;"Approved",H5&lt;&gt;"Live document",G5&lt;=Cover!$C$7+30),G5+ROW()/100000,"")</f>
        <v/>
      </c>
    </row>
    <row r="6" customFormat="false" ht="31.5" hidden="false" customHeight="true" outlineLevel="0" collapsed="false">
      <c r="A6" s="39" t="s">
        <v>620</v>
      </c>
      <c r="B6" s="11" t="s">
        <v>621</v>
      </c>
      <c r="C6" s="14" t="s">
        <v>133</v>
      </c>
      <c r="D6" s="12" t="s">
        <v>622</v>
      </c>
      <c r="E6" s="12" t="s">
        <v>164</v>
      </c>
      <c r="F6" s="12" t="s">
        <v>158</v>
      </c>
      <c r="G6" s="15" t="n">
        <v>46220</v>
      </c>
      <c r="H6" s="14" t="s">
        <v>618</v>
      </c>
      <c r="I6" s="12" t="s">
        <v>623</v>
      </c>
      <c r="J6" s="36" t="str">
        <f aca="false">IF(OR(A6="",G6=""),"",IF(AND(G6&lt;Cover!$C$7,H6&lt;&gt;"Approved",H6&lt;&gt;"Live document"),"Overdue","No"))</f>
        <v>No</v>
      </c>
      <c r="K6" s="38" t="str">
        <f aca="false">IF(AND(G6&lt;&gt;"",H6&lt;&gt;"Approved",H6&lt;&gt;"Live document",G6&lt;=Cover!$C$7+30),G6+ROW()/100000,"")</f>
        <v/>
      </c>
    </row>
    <row r="7" customFormat="false" ht="31.5" hidden="false" customHeight="true" outlineLevel="0" collapsed="false">
      <c r="A7" s="39" t="s">
        <v>624</v>
      </c>
      <c r="B7" s="11" t="s">
        <v>625</v>
      </c>
      <c r="C7" s="14" t="s">
        <v>137</v>
      </c>
      <c r="D7" s="12" t="s">
        <v>626</v>
      </c>
      <c r="E7" s="12" t="s">
        <v>171</v>
      </c>
      <c r="F7" s="12" t="s">
        <v>457</v>
      </c>
      <c r="G7" s="15" t="n">
        <v>46248</v>
      </c>
      <c r="H7" s="14" t="s">
        <v>618</v>
      </c>
      <c r="I7" s="12" t="s">
        <v>627</v>
      </c>
      <c r="J7" s="36" t="str">
        <f aca="false">IF(OR(A7="",G7=""),"",IF(AND(G7&lt;Cover!$C$7,H7&lt;&gt;"Approved",H7&lt;&gt;"Live document"),"Overdue","No"))</f>
        <v>No</v>
      </c>
      <c r="K7" s="38" t="str">
        <f aca="false">IF(AND(G7&lt;&gt;"",H7&lt;&gt;"Approved",H7&lt;&gt;"Live document",G7&lt;=Cover!$C$7+30),G7+ROW()/100000,"")</f>
        <v/>
      </c>
    </row>
    <row r="8" customFormat="false" ht="31.5" hidden="false" customHeight="true" outlineLevel="0" collapsed="false">
      <c r="A8" s="39" t="s">
        <v>628</v>
      </c>
      <c r="B8" s="11" t="s">
        <v>629</v>
      </c>
      <c r="C8" s="14" t="s">
        <v>137</v>
      </c>
      <c r="D8" s="12" t="s">
        <v>630</v>
      </c>
      <c r="E8" s="12" t="s">
        <v>167</v>
      </c>
      <c r="F8" s="12" t="s">
        <v>158</v>
      </c>
      <c r="G8" s="15" t="n">
        <v>46255</v>
      </c>
      <c r="H8" s="14" t="s">
        <v>631</v>
      </c>
      <c r="I8" s="12" t="s">
        <v>632</v>
      </c>
      <c r="J8" s="36" t="str">
        <f aca="false">IF(OR(A8="",G8=""),"",IF(AND(G8&lt;Cover!$C$7,H8&lt;&gt;"Approved",H8&lt;&gt;"Live document"),"Overdue","No"))</f>
        <v>No</v>
      </c>
      <c r="K8" s="38" t="str">
        <f aca="false">IF(AND(G8&lt;&gt;"",H8&lt;&gt;"Approved",H8&lt;&gt;"Live document",G8&lt;=Cover!$C$7+30),G8+ROW()/100000,"")</f>
        <v/>
      </c>
    </row>
    <row r="9" customFormat="false" ht="31.5" hidden="false" customHeight="true" outlineLevel="0" collapsed="false">
      <c r="A9" s="39" t="s">
        <v>633</v>
      </c>
      <c r="B9" s="11" t="s">
        <v>634</v>
      </c>
      <c r="C9" s="14" t="s">
        <v>137</v>
      </c>
      <c r="D9" s="12" t="s">
        <v>635</v>
      </c>
      <c r="E9" s="12" t="s">
        <v>167</v>
      </c>
      <c r="F9" s="12" t="s">
        <v>158</v>
      </c>
      <c r="G9" s="15" t="n">
        <v>46255</v>
      </c>
      <c r="H9" s="14" t="s">
        <v>631</v>
      </c>
      <c r="I9" s="12" t="s">
        <v>636</v>
      </c>
      <c r="J9" s="36" t="str">
        <f aca="false">IF(OR(A9="",G9=""),"",IF(AND(G9&lt;Cover!$C$7,H9&lt;&gt;"Approved",H9&lt;&gt;"Live document"),"Overdue","No"))</f>
        <v>No</v>
      </c>
      <c r="K9" s="38" t="str">
        <f aca="false">IF(AND(G9&lt;&gt;"",H9&lt;&gt;"Approved",H9&lt;&gt;"Live document",G9&lt;=Cover!$C$7+30),G9+ROW()/100000,"")</f>
        <v/>
      </c>
    </row>
    <row r="10" customFormat="false" ht="31.5" hidden="false" customHeight="true" outlineLevel="0" collapsed="false">
      <c r="A10" s="39" t="s">
        <v>637</v>
      </c>
      <c r="B10" s="11" t="s">
        <v>638</v>
      </c>
      <c r="C10" s="14" t="s">
        <v>141</v>
      </c>
      <c r="D10" s="12" t="s">
        <v>639</v>
      </c>
      <c r="E10" s="12" t="s">
        <v>164</v>
      </c>
      <c r="F10" s="12" t="s">
        <v>158</v>
      </c>
      <c r="G10" s="15" t="n">
        <v>46220</v>
      </c>
      <c r="H10" s="14" t="s">
        <v>631</v>
      </c>
      <c r="I10" s="12" t="s">
        <v>623</v>
      </c>
      <c r="J10" s="36" t="str">
        <f aca="false">IF(OR(A10="",G10=""),"",IF(AND(G10&lt;Cover!$C$7,H10&lt;&gt;"Approved",H10&lt;&gt;"Live document"),"Overdue","No"))</f>
        <v>No</v>
      </c>
      <c r="K10" s="38" t="str">
        <f aca="false">IF(AND(G10&lt;&gt;"",H10&lt;&gt;"Approved",H10&lt;&gt;"Live document",G10&lt;=Cover!$C$7+30),G10+ROW()/100000,"")</f>
        <v/>
      </c>
    </row>
    <row r="11" customFormat="false" ht="31.5" hidden="false" customHeight="true" outlineLevel="0" collapsed="false">
      <c r="A11" s="39" t="s">
        <v>640</v>
      </c>
      <c r="B11" s="11" t="s">
        <v>641</v>
      </c>
      <c r="C11" s="14" t="s">
        <v>141</v>
      </c>
      <c r="D11" s="12" t="s">
        <v>642</v>
      </c>
      <c r="E11" s="12" t="s">
        <v>177</v>
      </c>
      <c r="F11" s="12" t="s">
        <v>457</v>
      </c>
      <c r="G11" s="15" t="n">
        <v>46280</v>
      </c>
      <c r="H11" s="14" t="s">
        <v>643</v>
      </c>
      <c r="I11" s="12" t="s">
        <v>644</v>
      </c>
      <c r="J11" s="36" t="str">
        <f aca="false">IF(OR(A11="",G11=""),"",IF(AND(G11&lt;Cover!$C$7,H11&lt;&gt;"Approved",H11&lt;&gt;"Live document"),"Overdue","No"))</f>
        <v>No</v>
      </c>
      <c r="K11" s="42" t="n">
        <f aca="false">IF(AND(G11&lt;&gt;"",H11&lt;&gt;"Approved",H11&lt;&gt;"Live document",G11&lt;=Cover!$C$7+30),G11+ROW()/100000,"")</f>
        <v>46280.00011</v>
      </c>
    </row>
    <row r="12" customFormat="false" ht="31.5" hidden="false" customHeight="true" outlineLevel="0" collapsed="false">
      <c r="A12" s="39" t="s">
        <v>645</v>
      </c>
      <c r="B12" s="11" t="s">
        <v>646</v>
      </c>
      <c r="C12" s="14" t="s">
        <v>141</v>
      </c>
      <c r="D12" s="12" t="s">
        <v>647</v>
      </c>
      <c r="E12" s="12" t="s">
        <v>648</v>
      </c>
      <c r="F12" s="12" t="s">
        <v>251</v>
      </c>
      <c r="G12" s="15" t="n">
        <v>46275</v>
      </c>
      <c r="H12" s="14" t="s">
        <v>631</v>
      </c>
      <c r="I12" s="12" t="s">
        <v>649</v>
      </c>
      <c r="J12" s="36" t="str">
        <f aca="false">IF(OR(A12="",G12=""),"",IF(AND(G12&lt;Cover!$C$7,H12&lt;&gt;"Approved",H12&lt;&gt;"Live document"),"Overdue","No"))</f>
        <v>No</v>
      </c>
      <c r="K12" s="38" t="str">
        <f aca="false">IF(AND(G12&lt;&gt;"",H12&lt;&gt;"Approved",H12&lt;&gt;"Live document",G12&lt;=Cover!$C$7+30),G12+ROW()/100000,"")</f>
        <v/>
      </c>
    </row>
    <row r="13" customFormat="false" ht="31.5" hidden="false" customHeight="true" outlineLevel="0" collapsed="false">
      <c r="A13" s="39" t="s">
        <v>650</v>
      </c>
      <c r="B13" s="11" t="s">
        <v>651</v>
      </c>
      <c r="C13" s="14" t="s">
        <v>141</v>
      </c>
      <c r="D13" s="12" t="s">
        <v>652</v>
      </c>
      <c r="E13" s="12" t="s">
        <v>164</v>
      </c>
      <c r="F13" s="12" t="s">
        <v>158</v>
      </c>
      <c r="G13" s="15" t="n">
        <v>46283</v>
      </c>
      <c r="H13" s="14" t="s">
        <v>643</v>
      </c>
      <c r="I13" s="12" t="s">
        <v>653</v>
      </c>
      <c r="J13" s="36" t="str">
        <f aca="false">IF(OR(A13="",G13=""),"",IF(AND(G13&lt;Cover!$C$7,H13&lt;&gt;"Approved",H13&lt;&gt;"Live document"),"Overdue","No"))</f>
        <v>No</v>
      </c>
      <c r="K13" s="42" t="n">
        <f aca="false">IF(AND(G13&lt;&gt;"",H13&lt;&gt;"Approved",H13&lt;&gt;"Live document",G13&lt;=Cover!$C$7+30),G13+ROW()/100000,"")</f>
        <v>46283.00013</v>
      </c>
    </row>
    <row r="14" customFormat="false" ht="31.5" hidden="false" customHeight="true" outlineLevel="0" collapsed="false">
      <c r="A14" s="39" t="s">
        <v>654</v>
      </c>
      <c r="B14" s="11" t="s">
        <v>655</v>
      </c>
      <c r="C14" s="14" t="s">
        <v>141</v>
      </c>
      <c r="D14" s="12" t="s">
        <v>656</v>
      </c>
      <c r="E14" s="12" t="s">
        <v>164</v>
      </c>
      <c r="F14" s="12" t="s">
        <v>358</v>
      </c>
      <c r="G14" s="15" t="n">
        <v>46289</v>
      </c>
      <c r="H14" s="14" t="s">
        <v>643</v>
      </c>
      <c r="I14" s="12" t="s">
        <v>657</v>
      </c>
      <c r="J14" s="36" t="str">
        <f aca="false">IF(OR(A14="",G14=""),"",IF(AND(G14&lt;Cover!$C$7,H14&lt;&gt;"Approved",H14&lt;&gt;"Live document"),"Overdue","No"))</f>
        <v>No</v>
      </c>
      <c r="K14" s="42" t="n">
        <f aca="false">IF(AND(G14&lt;&gt;"",H14&lt;&gt;"Approved",H14&lt;&gt;"Live document",G14&lt;=Cover!$C$7+30),G14+ROW()/100000,"")</f>
        <v>46289.00014</v>
      </c>
    </row>
    <row r="15" customFormat="false" ht="31.5" hidden="false" customHeight="true" outlineLevel="0" collapsed="false">
      <c r="A15" s="39" t="s">
        <v>658</v>
      </c>
      <c r="B15" s="11" t="s">
        <v>659</v>
      </c>
      <c r="C15" s="14" t="s">
        <v>141</v>
      </c>
      <c r="D15" s="12" t="s">
        <v>660</v>
      </c>
      <c r="E15" s="12" t="s">
        <v>661</v>
      </c>
      <c r="F15" s="12" t="s">
        <v>158</v>
      </c>
      <c r="G15" s="15" t="n">
        <v>46282</v>
      </c>
      <c r="H15" s="14" t="s">
        <v>643</v>
      </c>
      <c r="I15" s="12" t="s">
        <v>662</v>
      </c>
      <c r="J15" s="36" t="str">
        <f aca="false">IF(OR(A15="",G15=""),"",IF(AND(G15&lt;Cover!$C$7,H15&lt;&gt;"Approved",H15&lt;&gt;"Live document"),"Overdue","No"))</f>
        <v>No</v>
      </c>
      <c r="K15" s="42" t="n">
        <f aca="false">IF(AND(G15&lt;&gt;"",H15&lt;&gt;"Approved",H15&lt;&gt;"Live document",G15&lt;=Cover!$C$7+30),G15+ROW()/100000,"")</f>
        <v>46282.00015</v>
      </c>
    </row>
    <row r="16" customFormat="false" ht="31.5" hidden="false" customHeight="true" outlineLevel="0" collapsed="false">
      <c r="A16" s="39" t="s">
        <v>663</v>
      </c>
      <c r="B16" s="11" t="s">
        <v>664</v>
      </c>
      <c r="C16" s="14" t="s">
        <v>141</v>
      </c>
      <c r="D16" s="12" t="s">
        <v>665</v>
      </c>
      <c r="E16" s="12" t="s">
        <v>175</v>
      </c>
      <c r="F16" s="12" t="s">
        <v>158</v>
      </c>
      <c r="G16" s="15" t="n">
        <v>46325</v>
      </c>
      <c r="H16" s="14" t="s">
        <v>666</v>
      </c>
      <c r="I16" s="12" t="s">
        <v>667</v>
      </c>
      <c r="J16" s="36" t="str">
        <f aca="false">IF(OR(A16="",G16=""),"",IF(AND(G16&lt;Cover!$C$7,H16&lt;&gt;"Approved",H16&lt;&gt;"Live document"),"Overdue","No"))</f>
        <v>No</v>
      </c>
      <c r="K16" s="38" t="str">
        <f aca="false">IF(AND(G16&lt;&gt;"",H16&lt;&gt;"Approved",H16&lt;&gt;"Live document",G16&lt;=Cover!$C$7+30),G16+ROW()/100000,"")</f>
        <v/>
      </c>
    </row>
    <row r="17" customFormat="false" ht="31.5" hidden="false" customHeight="true" outlineLevel="0" collapsed="false">
      <c r="A17" s="39" t="s">
        <v>668</v>
      </c>
      <c r="B17" s="11" t="s">
        <v>669</v>
      </c>
      <c r="C17" s="14" t="s">
        <v>398</v>
      </c>
      <c r="D17" s="12" t="s">
        <v>670</v>
      </c>
      <c r="E17" s="12" t="s">
        <v>167</v>
      </c>
      <c r="F17" s="12" t="s">
        <v>358</v>
      </c>
      <c r="G17" s="15" t="n">
        <v>46360</v>
      </c>
      <c r="H17" s="14" t="s">
        <v>666</v>
      </c>
      <c r="I17" s="12" t="s">
        <v>671</v>
      </c>
      <c r="J17" s="36" t="str">
        <f aca="false">IF(OR(A17="",G17=""),"",IF(AND(G17&lt;Cover!$C$7,H17&lt;&gt;"Approved",H17&lt;&gt;"Live document"),"Overdue","No"))</f>
        <v>No</v>
      </c>
      <c r="K17" s="38" t="str">
        <f aca="false">IF(AND(G17&lt;&gt;"",H17&lt;&gt;"Approved",H17&lt;&gt;"Live document",G17&lt;=Cover!$C$7+30),G17+ROW()/100000,"")</f>
        <v/>
      </c>
    </row>
    <row r="18" customFormat="false" ht="31.5" hidden="false" customHeight="true" outlineLevel="0" collapsed="false">
      <c r="A18" s="39" t="s">
        <v>672</v>
      </c>
      <c r="B18" s="11" t="s">
        <v>673</v>
      </c>
      <c r="C18" s="14" t="s">
        <v>398</v>
      </c>
      <c r="D18" s="12" t="s">
        <v>674</v>
      </c>
      <c r="E18" s="12" t="s">
        <v>167</v>
      </c>
      <c r="F18" s="12" t="s">
        <v>228</v>
      </c>
      <c r="G18" s="15" t="n">
        <v>46409</v>
      </c>
      <c r="H18" s="14" t="s">
        <v>666</v>
      </c>
      <c r="I18" s="12"/>
      <c r="J18" s="36" t="str">
        <f aca="false">IF(OR(A18="",G18=""),"",IF(AND(G18&lt;Cover!$C$7,H18&lt;&gt;"Approved",H18&lt;&gt;"Live document"),"Overdue","No"))</f>
        <v>No</v>
      </c>
      <c r="K18" s="38" t="str">
        <f aca="false">IF(AND(G18&lt;&gt;"",H18&lt;&gt;"Approved",H18&lt;&gt;"Live document",G18&lt;=Cover!$C$7+30),G18+ROW()/100000,"")</f>
        <v/>
      </c>
    </row>
    <row r="19" customFormat="false" ht="31.5" hidden="false" customHeight="true" outlineLevel="0" collapsed="false">
      <c r="A19" s="39" t="s">
        <v>675</v>
      </c>
      <c r="B19" s="11" t="s">
        <v>598</v>
      </c>
      <c r="C19" s="14" t="s">
        <v>676</v>
      </c>
      <c r="D19" s="12" t="s">
        <v>677</v>
      </c>
      <c r="E19" s="12" t="s">
        <v>164</v>
      </c>
      <c r="F19" s="12" t="s">
        <v>358</v>
      </c>
      <c r="G19" s="15" t="n">
        <v>46457</v>
      </c>
      <c r="H19" s="14" t="s">
        <v>666</v>
      </c>
      <c r="I19" s="12" t="s">
        <v>653</v>
      </c>
      <c r="J19" s="36" t="str">
        <f aca="false">IF(OR(A19="",G19=""),"",IF(AND(G19&lt;Cover!$C$7,H19&lt;&gt;"Approved",H19&lt;&gt;"Live document"),"Overdue","No"))</f>
        <v>No</v>
      </c>
      <c r="K19" s="38" t="str">
        <f aca="false">IF(AND(G19&lt;&gt;"",H19&lt;&gt;"Approved",H19&lt;&gt;"Live document",G19&lt;=Cover!$C$7+30),G19+ROW()/100000,"")</f>
        <v/>
      </c>
    </row>
    <row r="20" customFormat="false" ht="31.5" hidden="false" customHeight="true" outlineLevel="0" collapsed="false">
      <c r="A20" s="39" t="s">
        <v>678</v>
      </c>
      <c r="B20" s="11" t="s">
        <v>679</v>
      </c>
      <c r="C20" s="14" t="s">
        <v>149</v>
      </c>
      <c r="D20" s="12" t="s">
        <v>680</v>
      </c>
      <c r="E20" s="12" t="s">
        <v>164</v>
      </c>
      <c r="F20" s="12" t="s">
        <v>358</v>
      </c>
      <c r="G20" s="15" t="n">
        <v>46458</v>
      </c>
      <c r="H20" s="14" t="s">
        <v>666</v>
      </c>
      <c r="I20" s="12" t="s">
        <v>657</v>
      </c>
      <c r="J20" s="36" t="str">
        <f aca="false">IF(OR(A20="",G20=""),"",IF(AND(G20&lt;Cover!$C$7,H20&lt;&gt;"Approved",H20&lt;&gt;"Live document"),"Overdue","No"))</f>
        <v>No</v>
      </c>
      <c r="K20" s="38" t="str">
        <f aca="false">IF(AND(G20&lt;&gt;"",H20&lt;&gt;"Approved",H20&lt;&gt;"Live document",G20&lt;=Cover!$C$7+30),G20+ROW()/100000,"")</f>
        <v/>
      </c>
    </row>
    <row r="21" customFormat="false" ht="19.5" hidden="false" customHeight="true" outlineLevel="0" collapsed="false">
      <c r="A21" s="14"/>
      <c r="B21" s="12"/>
      <c r="C21" s="14"/>
      <c r="D21" s="12"/>
      <c r="E21" s="12"/>
      <c r="F21" s="12"/>
      <c r="G21" s="15"/>
      <c r="H21" s="14"/>
      <c r="I21" s="12"/>
      <c r="J21" s="36" t="str">
        <f aca="false">IF(OR(A21="",G21=""),"",IF(AND(G21&lt;Cover!$C$7,H21&lt;&gt;"Approved",H21&lt;&gt;"Live document"),"Overdue","No"))</f>
        <v/>
      </c>
      <c r="K21" s="38" t="str">
        <f aca="false">IF(AND(G21&lt;&gt;"",H21&lt;&gt;"Approved",H21&lt;&gt;"Live document",G21&lt;=Cover!$C$7+30),G21+ROW()/100000,"")</f>
        <v/>
      </c>
    </row>
    <row r="22" customFormat="false" ht="19.5" hidden="false" customHeight="true" outlineLevel="0" collapsed="false">
      <c r="A22" s="14"/>
      <c r="B22" s="12"/>
      <c r="C22" s="14"/>
      <c r="D22" s="12"/>
      <c r="E22" s="12"/>
      <c r="F22" s="12"/>
      <c r="G22" s="15"/>
      <c r="H22" s="14"/>
      <c r="I22" s="12"/>
      <c r="J22" s="36" t="str">
        <f aca="false">IF(OR(A22="",G22=""),"",IF(AND(G22&lt;Cover!$C$7,H22&lt;&gt;"Approved",H22&lt;&gt;"Live document"),"Overdue","No"))</f>
        <v/>
      </c>
      <c r="K22" s="38" t="str">
        <f aca="false">IF(AND(G22&lt;&gt;"",H22&lt;&gt;"Approved",H22&lt;&gt;"Live document",G22&lt;=Cover!$C$7+30),G22+ROW()/100000,"")</f>
        <v/>
      </c>
    </row>
    <row r="23" customFormat="false" ht="19.5" hidden="false" customHeight="true" outlineLevel="0" collapsed="false">
      <c r="A23" s="14"/>
      <c r="B23" s="12"/>
      <c r="C23" s="14"/>
      <c r="D23" s="12"/>
      <c r="E23" s="12"/>
      <c r="F23" s="12"/>
      <c r="G23" s="15"/>
      <c r="H23" s="14"/>
      <c r="I23" s="12"/>
      <c r="J23" s="36" t="str">
        <f aca="false">IF(OR(A23="",G23=""),"",IF(AND(G23&lt;Cover!$C$7,H23&lt;&gt;"Approved",H23&lt;&gt;"Live document"),"Overdue","No"))</f>
        <v/>
      </c>
      <c r="K23" s="38" t="str">
        <f aca="false">IF(AND(G23&lt;&gt;"",H23&lt;&gt;"Approved",H23&lt;&gt;"Live document",G23&lt;=Cover!$C$7+30),G23+ROW()/100000,"")</f>
        <v/>
      </c>
    </row>
    <row r="24" customFormat="false" ht="19.5" hidden="false" customHeight="true" outlineLevel="0" collapsed="false">
      <c r="A24" s="14"/>
      <c r="B24" s="12"/>
      <c r="C24" s="14"/>
      <c r="D24" s="12"/>
      <c r="E24" s="12"/>
      <c r="F24" s="12"/>
      <c r="G24" s="15"/>
      <c r="H24" s="14"/>
      <c r="I24" s="12"/>
      <c r="J24" s="36" t="str">
        <f aca="false">IF(OR(A24="",G24=""),"",IF(AND(G24&lt;Cover!$C$7,H24&lt;&gt;"Approved",H24&lt;&gt;"Live document"),"Overdue","No"))</f>
        <v/>
      </c>
      <c r="K24" s="38" t="str">
        <f aca="false">IF(AND(G24&lt;&gt;"",H24&lt;&gt;"Approved",H24&lt;&gt;"Live document",G24&lt;=Cover!$C$7+30),G24+ROW()/100000,"")</f>
        <v/>
      </c>
    </row>
    <row r="25" customFormat="false" ht="19.5" hidden="false" customHeight="true" outlineLevel="0" collapsed="false">
      <c r="A25" s="14"/>
      <c r="B25" s="12"/>
      <c r="C25" s="14"/>
      <c r="D25" s="12"/>
      <c r="E25" s="12"/>
      <c r="F25" s="12"/>
      <c r="G25" s="15"/>
      <c r="H25" s="14"/>
      <c r="I25" s="12"/>
      <c r="J25" s="36" t="str">
        <f aca="false">IF(OR(A25="",G25=""),"",IF(AND(G25&lt;Cover!$C$7,H25&lt;&gt;"Approved",H25&lt;&gt;"Live document"),"Overdue","No"))</f>
        <v/>
      </c>
      <c r="K25" s="38" t="str">
        <f aca="false">IF(AND(G25&lt;&gt;"",H25&lt;&gt;"Approved",H25&lt;&gt;"Live document",G25&lt;=Cover!$C$7+30),G25+ROW()/100000,"")</f>
        <v/>
      </c>
    </row>
    <row r="26" customFormat="false" ht="19.5" hidden="false" customHeight="true" outlineLevel="0" collapsed="false">
      <c r="A26" s="14"/>
      <c r="B26" s="12"/>
      <c r="C26" s="14"/>
      <c r="D26" s="12"/>
      <c r="E26" s="12"/>
      <c r="F26" s="12"/>
      <c r="G26" s="15"/>
      <c r="H26" s="14"/>
      <c r="I26" s="12"/>
      <c r="J26" s="36" t="str">
        <f aca="false">IF(OR(A26="",G26=""),"",IF(AND(G26&lt;Cover!$C$7,H26&lt;&gt;"Approved",H26&lt;&gt;"Live document"),"Overdue","No"))</f>
        <v/>
      </c>
      <c r="K26" s="38" t="str">
        <f aca="false">IF(AND(G26&lt;&gt;"",H26&lt;&gt;"Approved",H26&lt;&gt;"Live document",G26&lt;=Cover!$C$7+30),G26+ROW()/100000,"")</f>
        <v/>
      </c>
    </row>
    <row r="27" customFormat="false" ht="19.5" hidden="false" customHeight="true" outlineLevel="0" collapsed="false">
      <c r="A27" s="14"/>
      <c r="B27" s="12"/>
      <c r="C27" s="14"/>
      <c r="D27" s="12"/>
      <c r="E27" s="12"/>
      <c r="F27" s="12"/>
      <c r="G27" s="15"/>
      <c r="H27" s="14"/>
      <c r="I27" s="12"/>
      <c r="J27" s="36" t="str">
        <f aca="false">IF(OR(A27="",G27=""),"",IF(AND(G27&lt;Cover!$C$7,H27&lt;&gt;"Approved",H27&lt;&gt;"Live document"),"Overdue","No"))</f>
        <v/>
      </c>
      <c r="K27" s="38" t="str">
        <f aca="false">IF(AND(G27&lt;&gt;"",H27&lt;&gt;"Approved",H27&lt;&gt;"Live document",G27&lt;=Cover!$C$7+30),G27+ROW()/100000,"")</f>
        <v/>
      </c>
    </row>
    <row r="28" customFormat="false" ht="19.5" hidden="false" customHeight="true" outlineLevel="0" collapsed="false">
      <c r="A28" s="14"/>
      <c r="B28" s="12"/>
      <c r="C28" s="14"/>
      <c r="D28" s="12"/>
      <c r="E28" s="12"/>
      <c r="F28" s="12"/>
      <c r="G28" s="15"/>
      <c r="H28" s="14"/>
      <c r="I28" s="12"/>
      <c r="J28" s="36" t="str">
        <f aca="false">IF(OR(A28="",G28=""),"",IF(AND(G28&lt;Cover!$C$7,H28&lt;&gt;"Approved",H28&lt;&gt;"Live document"),"Overdue","No"))</f>
        <v/>
      </c>
      <c r="K28" s="38" t="str">
        <f aca="false">IF(AND(G28&lt;&gt;"",H28&lt;&gt;"Approved",H28&lt;&gt;"Live document",G28&lt;=Cover!$C$7+30),G28+ROW()/100000,"")</f>
        <v/>
      </c>
    </row>
    <row r="29" customFormat="false" ht="19.5" hidden="false" customHeight="true" outlineLevel="0" collapsed="false">
      <c r="A29" s="14"/>
      <c r="B29" s="12"/>
      <c r="C29" s="14"/>
      <c r="D29" s="12"/>
      <c r="E29" s="12"/>
      <c r="F29" s="12"/>
      <c r="G29" s="15"/>
      <c r="H29" s="14"/>
      <c r="I29" s="12"/>
      <c r="J29" s="36" t="str">
        <f aca="false">IF(OR(A29="",G29=""),"",IF(AND(G29&lt;Cover!$C$7,H29&lt;&gt;"Approved",H29&lt;&gt;"Live document"),"Overdue","No"))</f>
        <v/>
      </c>
      <c r="K29" s="38" t="str">
        <f aca="false">IF(AND(G29&lt;&gt;"",H29&lt;&gt;"Approved",H29&lt;&gt;"Live document",G29&lt;=Cover!$C$7+30),G29+ROW()/100000,"")</f>
        <v/>
      </c>
    </row>
    <row r="30" customFormat="false" ht="19.5" hidden="false" customHeight="true" outlineLevel="0" collapsed="false">
      <c r="A30" s="14"/>
      <c r="B30" s="12"/>
      <c r="C30" s="14"/>
      <c r="D30" s="12"/>
      <c r="E30" s="12"/>
      <c r="F30" s="12"/>
      <c r="G30" s="15"/>
      <c r="H30" s="14"/>
      <c r="I30" s="12"/>
      <c r="J30" s="36" t="str">
        <f aca="false">IF(OR(A30="",G30=""),"",IF(AND(G30&lt;Cover!$C$7,H30&lt;&gt;"Approved",H30&lt;&gt;"Live document"),"Overdue","No"))</f>
        <v/>
      </c>
      <c r="K30" s="38" t="str">
        <f aca="false">IF(AND(G30&lt;&gt;"",H30&lt;&gt;"Approved",H30&lt;&gt;"Live document",G30&lt;=Cover!$C$7+30),G30+ROW()/100000,"")</f>
        <v/>
      </c>
    </row>
    <row r="31" customFormat="false" ht="19.5" hidden="false" customHeight="true" outlineLevel="0" collapsed="false">
      <c r="A31" s="14"/>
      <c r="B31" s="12"/>
      <c r="C31" s="14"/>
      <c r="D31" s="12"/>
      <c r="E31" s="12"/>
      <c r="F31" s="12"/>
      <c r="G31" s="15"/>
      <c r="H31" s="14"/>
      <c r="I31" s="12"/>
      <c r="J31" s="36" t="str">
        <f aca="false">IF(OR(A31="",G31=""),"",IF(AND(G31&lt;Cover!$C$7,H31&lt;&gt;"Approved",H31&lt;&gt;"Live document"),"Overdue","No"))</f>
        <v/>
      </c>
      <c r="K31" s="38" t="str">
        <f aca="false">IF(AND(G31&lt;&gt;"",H31&lt;&gt;"Approved",H31&lt;&gt;"Live document",G31&lt;=Cover!$C$7+30),G31+ROW()/100000,"")</f>
        <v/>
      </c>
    </row>
    <row r="32" customFormat="false" ht="19.5" hidden="false" customHeight="true" outlineLevel="0" collapsed="false">
      <c r="A32" s="14"/>
      <c r="B32" s="12"/>
      <c r="C32" s="14"/>
      <c r="D32" s="12"/>
      <c r="E32" s="12"/>
      <c r="F32" s="12"/>
      <c r="G32" s="15"/>
      <c r="H32" s="14"/>
      <c r="I32" s="12"/>
      <c r="J32" s="36" t="str">
        <f aca="false">IF(OR(A32="",G32=""),"",IF(AND(G32&lt;Cover!$C$7,H32&lt;&gt;"Approved",H32&lt;&gt;"Live document"),"Overdue","No"))</f>
        <v/>
      </c>
      <c r="K32" s="38" t="str">
        <f aca="false">IF(AND(G32&lt;&gt;"",H32&lt;&gt;"Approved",H32&lt;&gt;"Live document",G32&lt;=Cover!$C$7+30),G32+ROW()/100000,"")</f>
        <v/>
      </c>
    </row>
    <row r="33" customFormat="false" ht="19.5" hidden="false" customHeight="true" outlineLevel="0" collapsed="false">
      <c r="A33" s="14"/>
      <c r="B33" s="12"/>
      <c r="C33" s="14"/>
      <c r="D33" s="12"/>
      <c r="E33" s="12"/>
      <c r="F33" s="12"/>
      <c r="G33" s="15"/>
      <c r="H33" s="14"/>
      <c r="I33" s="12"/>
      <c r="J33" s="36" t="str">
        <f aca="false">IF(OR(A33="",G33=""),"",IF(AND(G33&lt;Cover!$C$7,H33&lt;&gt;"Approved",H33&lt;&gt;"Live document"),"Overdue","No"))</f>
        <v/>
      </c>
      <c r="K33" s="38" t="str">
        <f aca="false">IF(AND(G33&lt;&gt;"",H33&lt;&gt;"Approved",H33&lt;&gt;"Live document",G33&lt;=Cover!$C$7+30),G33+ROW()/100000,"")</f>
        <v/>
      </c>
    </row>
    <row r="34" customFormat="false" ht="19.5" hidden="false" customHeight="true" outlineLevel="0" collapsed="false">
      <c r="A34" s="14"/>
      <c r="B34" s="12"/>
      <c r="C34" s="14"/>
      <c r="D34" s="12"/>
      <c r="E34" s="12"/>
      <c r="F34" s="12"/>
      <c r="G34" s="15"/>
      <c r="H34" s="14"/>
      <c r="I34" s="12"/>
      <c r="J34" s="36" t="str">
        <f aca="false">IF(OR(A34="",G34=""),"",IF(AND(G34&lt;Cover!$C$7,H34&lt;&gt;"Approved",H34&lt;&gt;"Live document"),"Overdue","No"))</f>
        <v/>
      </c>
      <c r="K34" s="38" t="str">
        <f aca="false">IF(AND(G34&lt;&gt;"",H34&lt;&gt;"Approved",H34&lt;&gt;"Live document",G34&lt;=Cover!$C$7+30),G34+ROW()/100000,"")</f>
        <v/>
      </c>
    </row>
    <row r="35" customFormat="false" ht="19.5" hidden="false" customHeight="true" outlineLevel="0" collapsed="false">
      <c r="A35" s="14"/>
      <c r="B35" s="12"/>
      <c r="C35" s="14"/>
      <c r="D35" s="12"/>
      <c r="E35" s="12"/>
      <c r="F35" s="12"/>
      <c r="G35" s="15"/>
      <c r="H35" s="14"/>
      <c r="I35" s="12"/>
      <c r="J35" s="36" t="str">
        <f aca="false">IF(OR(A35="",G35=""),"",IF(AND(G35&lt;Cover!$C$7,H35&lt;&gt;"Approved",H35&lt;&gt;"Live document"),"Overdue","No"))</f>
        <v/>
      </c>
      <c r="K35" s="38" t="str">
        <f aca="false">IF(AND(G35&lt;&gt;"",H35&lt;&gt;"Approved",H35&lt;&gt;"Live document",G35&lt;=Cover!$C$7+30),G35+ROW()/100000,"")</f>
        <v/>
      </c>
    </row>
    <row r="36" customFormat="false" ht="19.5" hidden="false" customHeight="true" outlineLevel="0" collapsed="false">
      <c r="A36" s="14"/>
      <c r="B36" s="12"/>
      <c r="C36" s="14"/>
      <c r="D36" s="12"/>
      <c r="E36" s="12"/>
      <c r="F36" s="12"/>
      <c r="G36" s="15"/>
      <c r="H36" s="14"/>
      <c r="I36" s="12"/>
      <c r="J36" s="36" t="str">
        <f aca="false">IF(OR(A36="",G36=""),"",IF(AND(G36&lt;Cover!$C$7,H36&lt;&gt;"Approved",H36&lt;&gt;"Live document"),"Overdue","No"))</f>
        <v/>
      </c>
      <c r="K36" s="38" t="str">
        <f aca="false">IF(AND(G36&lt;&gt;"",H36&lt;&gt;"Approved",H36&lt;&gt;"Live document",G36&lt;=Cover!$C$7+30),G36+ROW()/100000,"")</f>
        <v/>
      </c>
    </row>
    <row r="37" customFormat="false" ht="19.5" hidden="false" customHeight="true" outlineLevel="0" collapsed="false">
      <c r="A37" s="14"/>
      <c r="B37" s="12"/>
      <c r="C37" s="14"/>
      <c r="D37" s="12"/>
      <c r="E37" s="12"/>
      <c r="F37" s="12"/>
      <c r="G37" s="15"/>
      <c r="H37" s="14"/>
      <c r="I37" s="12"/>
      <c r="J37" s="36" t="str">
        <f aca="false">IF(OR(A37="",G37=""),"",IF(AND(G37&lt;Cover!$C$7,H37&lt;&gt;"Approved",H37&lt;&gt;"Live document"),"Overdue","No"))</f>
        <v/>
      </c>
      <c r="K37" s="38" t="str">
        <f aca="false">IF(AND(G37&lt;&gt;"",H37&lt;&gt;"Approved",H37&lt;&gt;"Live document",G37&lt;=Cover!$C$7+30),G37+ROW()/100000,"")</f>
        <v/>
      </c>
    </row>
    <row r="38" customFormat="false" ht="19.5" hidden="false" customHeight="true" outlineLevel="0" collapsed="false">
      <c r="A38" s="14"/>
      <c r="B38" s="12"/>
      <c r="C38" s="14"/>
      <c r="D38" s="12"/>
      <c r="E38" s="12"/>
      <c r="F38" s="12"/>
      <c r="G38" s="15"/>
      <c r="H38" s="14"/>
      <c r="I38" s="12"/>
      <c r="J38" s="36" t="str">
        <f aca="false">IF(OR(A38="",G38=""),"",IF(AND(G38&lt;Cover!$C$7,H38&lt;&gt;"Approved",H38&lt;&gt;"Live document"),"Overdue","No"))</f>
        <v/>
      </c>
      <c r="K38" s="38" t="str">
        <f aca="false">IF(AND(G38&lt;&gt;"",H38&lt;&gt;"Approved",H38&lt;&gt;"Live document",G38&lt;=Cover!$C$7+30),G38+ROW()/100000,"")</f>
        <v/>
      </c>
    </row>
    <row r="39" customFormat="false" ht="19.5" hidden="false" customHeight="true" outlineLevel="0" collapsed="false">
      <c r="A39" s="14"/>
      <c r="B39" s="12"/>
      <c r="C39" s="14"/>
      <c r="D39" s="12"/>
      <c r="E39" s="12"/>
      <c r="F39" s="12"/>
      <c r="G39" s="15"/>
      <c r="H39" s="14"/>
      <c r="I39" s="12"/>
      <c r="J39" s="36" t="str">
        <f aca="false">IF(OR(A39="",G39=""),"",IF(AND(G39&lt;Cover!$C$7,H39&lt;&gt;"Approved",H39&lt;&gt;"Live document"),"Overdue","No"))</f>
        <v/>
      </c>
      <c r="K39" s="38" t="str">
        <f aca="false">IF(AND(G39&lt;&gt;"",H39&lt;&gt;"Approved",H39&lt;&gt;"Live document",G39&lt;=Cover!$C$7+30),G39+ROW()/100000,"")</f>
        <v/>
      </c>
    </row>
    <row r="40" customFormat="false" ht="19.5" hidden="false" customHeight="true" outlineLevel="0" collapsed="false">
      <c r="A40" s="14"/>
      <c r="B40" s="12"/>
      <c r="C40" s="14"/>
      <c r="D40" s="12"/>
      <c r="E40" s="12"/>
      <c r="F40" s="12"/>
      <c r="G40" s="15"/>
      <c r="H40" s="14"/>
      <c r="I40" s="12"/>
      <c r="J40" s="36" t="str">
        <f aca="false">IF(OR(A40="",G40=""),"",IF(AND(G40&lt;Cover!$C$7,H40&lt;&gt;"Approved",H40&lt;&gt;"Live document"),"Overdue","No"))</f>
        <v/>
      </c>
      <c r="K40" s="38" t="str">
        <f aca="false">IF(AND(G40&lt;&gt;"",H40&lt;&gt;"Approved",H40&lt;&gt;"Live document",G40&lt;=Cover!$C$7+30),G40+ROW()/100000,"")</f>
        <v/>
      </c>
    </row>
    <row r="41" customFormat="false" ht="19.5" hidden="false" customHeight="true" outlineLevel="0" collapsed="false">
      <c r="A41" s="14"/>
      <c r="B41" s="12"/>
      <c r="C41" s="14"/>
      <c r="D41" s="12"/>
      <c r="E41" s="12"/>
      <c r="F41" s="12"/>
      <c r="G41" s="15"/>
      <c r="H41" s="14"/>
      <c r="I41" s="12"/>
      <c r="J41" s="36" t="str">
        <f aca="false">IF(OR(A41="",G41=""),"",IF(AND(G41&lt;Cover!$C$7,H41&lt;&gt;"Approved",H41&lt;&gt;"Live document"),"Overdue","No"))</f>
        <v/>
      </c>
      <c r="K41" s="38" t="str">
        <f aca="false">IF(AND(G41&lt;&gt;"",H41&lt;&gt;"Approved",H41&lt;&gt;"Live document",G41&lt;=Cover!$C$7+30),G41+ROW()/100000,"")</f>
        <v/>
      </c>
    </row>
    <row r="42" customFormat="false" ht="19.5" hidden="false" customHeight="true" outlineLevel="0" collapsed="false">
      <c r="A42" s="14"/>
      <c r="B42" s="12"/>
      <c r="C42" s="14"/>
      <c r="D42" s="12"/>
      <c r="E42" s="12"/>
      <c r="F42" s="12"/>
      <c r="G42" s="15"/>
      <c r="H42" s="14"/>
      <c r="I42" s="12"/>
      <c r="J42" s="36" t="str">
        <f aca="false">IF(OR(A42="",G42=""),"",IF(AND(G42&lt;Cover!$C$7,H42&lt;&gt;"Approved",H42&lt;&gt;"Live document"),"Overdue","No"))</f>
        <v/>
      </c>
      <c r="K42" s="38" t="str">
        <f aca="false">IF(AND(G42&lt;&gt;"",H42&lt;&gt;"Approved",H42&lt;&gt;"Live document",G42&lt;=Cover!$C$7+30),G42+ROW()/100000,"")</f>
        <v/>
      </c>
    </row>
    <row r="43" customFormat="false" ht="19.5" hidden="false" customHeight="true" outlineLevel="0" collapsed="false">
      <c r="A43" s="14"/>
      <c r="B43" s="12"/>
      <c r="C43" s="14"/>
      <c r="D43" s="12"/>
      <c r="E43" s="12"/>
      <c r="F43" s="12"/>
      <c r="G43" s="15"/>
      <c r="H43" s="14"/>
      <c r="I43" s="12"/>
      <c r="J43" s="36" t="str">
        <f aca="false">IF(OR(A43="",G43=""),"",IF(AND(G43&lt;Cover!$C$7,H43&lt;&gt;"Approved",H43&lt;&gt;"Live document"),"Overdue","No"))</f>
        <v/>
      </c>
      <c r="K43" s="38" t="str">
        <f aca="false">IF(AND(G43&lt;&gt;"",H43&lt;&gt;"Approved",H43&lt;&gt;"Live document",G43&lt;=Cover!$C$7+30),G43+ROW()/100000,"")</f>
        <v/>
      </c>
    </row>
    <row r="44" customFormat="false" ht="19.5" hidden="false" customHeight="true" outlineLevel="0" collapsed="false">
      <c r="A44" s="14"/>
      <c r="B44" s="12"/>
      <c r="C44" s="14"/>
      <c r="D44" s="12"/>
      <c r="E44" s="12"/>
      <c r="F44" s="12"/>
      <c r="G44" s="15"/>
      <c r="H44" s="14"/>
      <c r="I44" s="12"/>
      <c r="J44" s="36" t="str">
        <f aca="false">IF(OR(A44="",G44=""),"",IF(AND(G44&lt;Cover!$C$7,H44&lt;&gt;"Approved",H44&lt;&gt;"Live document"),"Overdue","No"))</f>
        <v/>
      </c>
      <c r="K44" s="38" t="str">
        <f aca="false">IF(AND(G44&lt;&gt;"",H44&lt;&gt;"Approved",H44&lt;&gt;"Live document",G44&lt;=Cover!$C$7+30),G44+ROW()/100000,"")</f>
        <v/>
      </c>
    </row>
    <row r="45" customFormat="false" ht="19.5" hidden="false" customHeight="true" outlineLevel="0" collapsed="false">
      <c r="A45" s="14"/>
      <c r="B45" s="12"/>
      <c r="C45" s="14"/>
      <c r="D45" s="12"/>
      <c r="E45" s="12"/>
      <c r="F45" s="12"/>
      <c r="G45" s="15"/>
      <c r="H45" s="14"/>
      <c r="I45" s="12"/>
      <c r="J45" s="36" t="str">
        <f aca="false">IF(OR(A45="",G45=""),"",IF(AND(G45&lt;Cover!$C$7,H45&lt;&gt;"Approved",H45&lt;&gt;"Live document"),"Overdue","No"))</f>
        <v/>
      </c>
      <c r="K45" s="38" t="str">
        <f aca="false">IF(AND(G45&lt;&gt;"",H45&lt;&gt;"Approved",H45&lt;&gt;"Live document",G45&lt;=Cover!$C$7+30),G45+ROW()/100000,"")</f>
        <v/>
      </c>
    </row>
    <row r="46" customFormat="false" ht="19.5" hidden="false" customHeight="true" outlineLevel="0" collapsed="false">
      <c r="A46" s="14"/>
      <c r="B46" s="12"/>
      <c r="C46" s="14"/>
      <c r="D46" s="12"/>
      <c r="E46" s="12"/>
      <c r="F46" s="12"/>
      <c r="G46" s="15"/>
      <c r="H46" s="14"/>
      <c r="I46" s="12"/>
      <c r="J46" s="36" t="str">
        <f aca="false">IF(OR(A46="",G46=""),"",IF(AND(G46&lt;Cover!$C$7,H46&lt;&gt;"Approved",H46&lt;&gt;"Live document"),"Overdue","No"))</f>
        <v/>
      </c>
      <c r="K46" s="38" t="str">
        <f aca="false">IF(AND(G46&lt;&gt;"",H46&lt;&gt;"Approved",H46&lt;&gt;"Live document",G46&lt;=Cover!$C$7+30),G46+ROW()/100000,"")</f>
        <v/>
      </c>
    </row>
    <row r="47" customFormat="false" ht="19.5" hidden="false" customHeight="true" outlineLevel="0" collapsed="false">
      <c r="A47" s="14"/>
      <c r="B47" s="12"/>
      <c r="C47" s="14"/>
      <c r="D47" s="12"/>
      <c r="E47" s="12"/>
      <c r="F47" s="12"/>
      <c r="G47" s="15"/>
      <c r="H47" s="14"/>
      <c r="I47" s="12"/>
      <c r="J47" s="36" t="str">
        <f aca="false">IF(OR(A47="",G47=""),"",IF(AND(G47&lt;Cover!$C$7,H47&lt;&gt;"Approved",H47&lt;&gt;"Live document"),"Overdue","No"))</f>
        <v/>
      </c>
      <c r="K47" s="38" t="str">
        <f aca="false">IF(AND(G47&lt;&gt;"",H47&lt;&gt;"Approved",H47&lt;&gt;"Live document",G47&lt;=Cover!$C$7+30),G47+ROW()/100000,"")</f>
        <v/>
      </c>
    </row>
    <row r="48" customFormat="false" ht="19.5" hidden="false" customHeight="true" outlineLevel="0" collapsed="false">
      <c r="A48" s="14"/>
      <c r="B48" s="12"/>
      <c r="C48" s="14"/>
      <c r="D48" s="12"/>
      <c r="E48" s="12"/>
      <c r="F48" s="12"/>
      <c r="G48" s="15"/>
      <c r="H48" s="14"/>
      <c r="I48" s="12"/>
      <c r="J48" s="36" t="str">
        <f aca="false">IF(OR(A48="",G48=""),"",IF(AND(G48&lt;Cover!$C$7,H48&lt;&gt;"Approved",H48&lt;&gt;"Live document"),"Overdue","No"))</f>
        <v/>
      </c>
      <c r="K48" s="38" t="str">
        <f aca="false">IF(AND(G48&lt;&gt;"",H48&lt;&gt;"Approved",H48&lt;&gt;"Live document",G48&lt;=Cover!$C$7+30),G48+ROW()/100000,"")</f>
        <v/>
      </c>
    </row>
    <row r="49" customFormat="false" ht="19.5" hidden="false" customHeight="true" outlineLevel="0" collapsed="false">
      <c r="A49" s="14"/>
      <c r="B49" s="12"/>
      <c r="C49" s="14"/>
      <c r="D49" s="12"/>
      <c r="E49" s="12"/>
      <c r="F49" s="12"/>
      <c r="G49" s="15"/>
      <c r="H49" s="14"/>
      <c r="I49" s="12"/>
      <c r="J49" s="36" t="str">
        <f aca="false">IF(OR(A49="",G49=""),"",IF(AND(G49&lt;Cover!$C$7,H49&lt;&gt;"Approved",H49&lt;&gt;"Live document"),"Overdue","No"))</f>
        <v/>
      </c>
      <c r="K49" s="38" t="str">
        <f aca="false">IF(AND(G49&lt;&gt;"",H49&lt;&gt;"Approved",H49&lt;&gt;"Live document",G49&lt;=Cover!$C$7+30),G49+ROW()/100000,"")</f>
        <v/>
      </c>
    </row>
    <row r="50" customFormat="false" ht="19.5" hidden="false" customHeight="true" outlineLevel="0" collapsed="false">
      <c r="A50" s="14"/>
      <c r="B50" s="12"/>
      <c r="C50" s="14"/>
      <c r="D50" s="12"/>
      <c r="E50" s="12"/>
      <c r="F50" s="12"/>
      <c r="G50" s="15"/>
      <c r="H50" s="14"/>
      <c r="I50" s="12"/>
      <c r="J50" s="36" t="str">
        <f aca="false">IF(OR(A50="",G50=""),"",IF(AND(G50&lt;Cover!$C$7,H50&lt;&gt;"Approved",H50&lt;&gt;"Live document"),"Overdue","No"))</f>
        <v/>
      </c>
      <c r="K50" s="38" t="str">
        <f aca="false">IF(AND(G50&lt;&gt;"",H50&lt;&gt;"Approved",H50&lt;&gt;"Live document",G50&lt;=Cover!$C$7+30),G50+ROW()/100000,"")</f>
        <v/>
      </c>
    </row>
    <row r="51" customFormat="false" ht="19.5" hidden="false" customHeight="true" outlineLevel="0" collapsed="false">
      <c r="A51" s="14"/>
      <c r="B51" s="12"/>
      <c r="C51" s="14"/>
      <c r="D51" s="12"/>
      <c r="E51" s="12"/>
      <c r="F51" s="12"/>
      <c r="G51" s="15"/>
      <c r="H51" s="14"/>
      <c r="I51" s="12"/>
      <c r="J51" s="36" t="str">
        <f aca="false">IF(OR(A51="",G51=""),"",IF(AND(G51&lt;Cover!$C$7,H51&lt;&gt;"Approved",H51&lt;&gt;"Live document"),"Overdue","No"))</f>
        <v/>
      </c>
      <c r="K51" s="38" t="str">
        <f aca="false">IF(AND(G51&lt;&gt;"",H51&lt;&gt;"Approved",H51&lt;&gt;"Live document",G51&lt;=Cover!$C$7+30),G51+ROW()/100000,"")</f>
        <v/>
      </c>
    </row>
    <row r="52" customFormat="false" ht="19.5" hidden="false" customHeight="true" outlineLevel="0" collapsed="false">
      <c r="A52" s="14"/>
      <c r="B52" s="12"/>
      <c r="C52" s="14"/>
      <c r="D52" s="12"/>
      <c r="E52" s="12"/>
      <c r="F52" s="12"/>
      <c r="G52" s="15"/>
      <c r="H52" s="14"/>
      <c r="I52" s="12"/>
      <c r="J52" s="36" t="str">
        <f aca="false">IF(OR(A52="",G52=""),"",IF(AND(G52&lt;Cover!$C$7,H52&lt;&gt;"Approved",H52&lt;&gt;"Live document"),"Overdue","No"))</f>
        <v/>
      </c>
      <c r="K52" s="38" t="str">
        <f aca="false">IF(AND(G52&lt;&gt;"",H52&lt;&gt;"Approved",H52&lt;&gt;"Live document",G52&lt;=Cover!$C$7+30),G52+ROW()/100000,"")</f>
        <v/>
      </c>
    </row>
    <row r="53" customFormat="false" ht="19.5" hidden="false" customHeight="true" outlineLevel="0" collapsed="false">
      <c r="A53" s="14"/>
      <c r="B53" s="12"/>
      <c r="C53" s="14"/>
      <c r="D53" s="12"/>
      <c r="E53" s="12"/>
      <c r="F53" s="12"/>
      <c r="G53" s="15"/>
      <c r="H53" s="14"/>
      <c r="I53" s="12"/>
      <c r="J53" s="36" t="str">
        <f aca="false">IF(OR(A53="",G53=""),"",IF(AND(G53&lt;Cover!$C$7,H53&lt;&gt;"Approved",H53&lt;&gt;"Live document"),"Overdue","No"))</f>
        <v/>
      </c>
      <c r="K53" s="38" t="str">
        <f aca="false">IF(AND(G53&lt;&gt;"",H53&lt;&gt;"Approved",H53&lt;&gt;"Live document",G53&lt;=Cover!$C$7+30),G53+ROW()/100000,"")</f>
        <v/>
      </c>
    </row>
    <row r="54" customFormat="false" ht="19.5" hidden="false" customHeight="true" outlineLevel="0" collapsed="false">
      <c r="A54" s="14"/>
      <c r="B54" s="12"/>
      <c r="C54" s="14"/>
      <c r="D54" s="12"/>
      <c r="E54" s="12"/>
      <c r="F54" s="12"/>
      <c r="G54" s="15"/>
      <c r="H54" s="14"/>
      <c r="I54" s="12"/>
      <c r="J54" s="36" t="str">
        <f aca="false">IF(OR(A54="",G54=""),"",IF(AND(G54&lt;Cover!$C$7,H54&lt;&gt;"Approved",H54&lt;&gt;"Live document"),"Overdue","No"))</f>
        <v/>
      </c>
      <c r="K54" s="38" t="str">
        <f aca="false">IF(AND(G54&lt;&gt;"",H54&lt;&gt;"Approved",H54&lt;&gt;"Live document",G54&lt;=Cover!$C$7+30),G54+ROW()/100000,"")</f>
        <v/>
      </c>
    </row>
  </sheetData>
  <autoFilter ref="A4:J20"/>
  <conditionalFormatting sqref="H5:H54">
    <cfRule type="cellIs" priority="2" operator="equal" aboveAverage="0" equalAverage="0" bottom="0" percent="0" rank="0" text="" dxfId="20">
      <formula>"Approved"</formula>
    </cfRule>
    <cfRule type="cellIs" priority="3" operator="equal" aboveAverage="0" equalAverage="0" bottom="0" percent="0" rank="0" text="" dxfId="20">
      <formula>"Live document"</formula>
    </cfRule>
    <cfRule type="cellIs" priority="4" operator="equal" aboveAverage="0" equalAverage="0" bottom="0" percent="0" rank="0" text="" dxfId="1">
      <formula>"In Review"</formula>
    </cfRule>
    <cfRule type="cellIs" priority="5" operator="equal" aboveAverage="0" equalAverage="0" bottom="0" percent="0" rank="0" text="" dxfId="19">
      <formula>"In Progress"</formula>
    </cfRule>
    <cfRule type="cellIs" priority="6" operator="equal" aboveAverage="0" equalAverage="0" bottom="0" percent="0" rank="0" text="" dxfId="2">
      <formula>"Not Started"</formula>
    </cfRule>
  </conditionalFormatting>
  <conditionalFormatting sqref="J5:J54">
    <cfRule type="cellIs" priority="7" operator="equal" aboveAverage="0" equalAverage="0" bottom="0" percent="0" rank="0" text="" dxfId="0">
      <formula>"Overdue"</formula>
    </cfRule>
  </conditionalFormatting>
  <dataValidations count="1">
    <dataValidation allowBlank="true" errorStyle="stop" operator="between" showDropDown="false" showErrorMessage="false" showInputMessage="false" sqref="H5:H54" type="list">
      <formula1>"Not Started,In Progress,In Review,Approved,Live document"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2026-09-11T00:41:49Z</dcterms:created>
  <dc:creator>openpyxl</dc:creator>
  <dc:description/>
  <dc:language>en-US</dc:language>
  <cp:lastModifiedBy/>
  <dcterms:modified xsi:type="dcterms:W3CDTF">2026-09-11T00:41:49Z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