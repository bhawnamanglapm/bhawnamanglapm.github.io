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heetId="2" state="visible" r:id="rId4"/>
    <sheet name="Change Log" sheetId="3" state="visible" r:id="rId5"/>
  </sheets>
  <definedNames>
    <definedName function="false" hidden="false" localSheetId="2" name="_xlnm.Print_Area" vbProcedure="false">'Change Log'!$A$1:$AG$15</definedName>
    <definedName function="false" hidden="false" localSheetId="2" name="_xlnm.Print_Titles" vbProcedure="false">'Change Log'!$4:$4</definedName>
    <definedName function="false" hidden="true" localSheetId="2" name="_xlnm._FilterDatabase" vbProcedure="false">'Change Log'!$A$4:$AG$54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<sst xmlns="http://schemas.openxmlformats.org/spreadsheetml/2006/main" count="321" uniqueCount="257">
  <si>
    <t xml:space="preserve">Change Log</t>
  </si>
  <si>
    <t xml:space="preserve">Merchant Payment Operations &amp; Dispute Hub</t>
  </si>
  <si>
    <t xml:space="preserve">Document</t>
  </si>
  <si>
    <t xml:space="preserve">Change Request (CR) Log</t>
  </si>
  <si>
    <t xml:space="preserve">Version</t>
  </si>
  <si>
    <t xml:space="preserve">1.0</t>
  </si>
  <si>
    <t xml:space="preserve">Reporting date</t>
  </si>
  <si>
    <t xml:space="preserve">Prepared by</t>
  </si>
  <si>
    <t xml:space="preserve">Bhawna, Product Owner</t>
  </si>
  <si>
    <t xml:space="preserve">Review cadence</t>
  </si>
  <si>
    <t xml:space="preserve">Weekly change review with the RAID log; High-impact changes to steering committee</t>
  </si>
  <si>
    <t xml:space="preserve">Companion document</t>
  </si>
  <si>
    <t xml:space="preserve">RAID_Log_Merchant_Dispute_Hub.xlsx (Linked Items column references R-, A-, I-, D- IDs)</t>
  </si>
  <si>
    <t xml:space="preserve">Project type</t>
  </si>
  <si>
    <t xml:space="preserve">Simulation / portfolio project prepared to demonstrate Product Owner practice. Not an actual client system; teams, dates, costs and vendors are illustrative.</t>
  </si>
  <si>
    <t xml:space="preserve">Purpose</t>
  </si>
  <si>
    <t xml:space="preserve">This log records every proposed change to an agreed project baseline (scope, schedule, effort, cost, requirements, design or compliance commitments), the impact assessment, the options considered, who decided and why, and whether the plan was updated. The Dashboard tab shows pending decisions and the cumulative impact of approved changes against contingency.</t>
  </si>
  <si>
    <t xml:space="preserve">What goes in this log</t>
  </si>
  <si>
    <t xml:space="preserve">Log as a change request</t>
  </si>
  <si>
    <t xml:space="preserve">Handle in backlog refinement (no CR needed)</t>
  </si>
  <si>
    <t xml:space="preserve">Adds, removes or changes agreed MVP scope</t>
  </si>
  <si>
    <t xml:space="preserve">Reprioritizing stories within the sprint goal</t>
  </si>
  <si>
    <t xml:space="preserve">Moves go-live or a committed milestone</t>
  </si>
  <si>
    <t xml:space="preserve">Splitting or re-estimating stories</t>
  </si>
  <si>
    <t xml:space="preserve">Uses effort or budget beyond agreed contingency</t>
  </si>
  <si>
    <t xml:space="preserve">Swapping stories of similar size with no release impact</t>
  </si>
  <si>
    <t xml:space="preserve">Changes a compliance, security or contractual commitment</t>
  </si>
  <si>
    <t xml:space="preserve">Clarifying acceptance criteria without changing intent</t>
  </si>
  <si>
    <t xml:space="preserve">Changes an approved requirement or design other teams depend on</t>
  </si>
  <si>
    <t xml:space="preserve">Fixing defects against existing requirements</t>
  </si>
  <si>
    <t xml:space="preserve">Impact rating and decision authority</t>
  </si>
  <si>
    <t xml:space="preserve">Impact rating is calculated from the assessed impact of the change as requested. A change is rated at the highest level any threshold reaches. Compliance changes are always rated High. Edit the yellow cells to change thresholds; the log recalculates.</t>
  </si>
  <si>
    <t xml:space="preserve">Rating</t>
  </si>
  <si>
    <t xml:space="preserve">Schedule (working days) ≥</t>
  </si>
  <si>
    <t xml:space="preserve">Effort (story points) ≥</t>
  </si>
  <si>
    <t xml:space="preserve">Cost (USD) ≥</t>
  </si>
  <si>
    <t xml:space="preserve">Required approver</t>
  </si>
  <si>
    <t xml:space="preserve">High</t>
  </si>
  <si>
    <t xml:space="preserve">Steering Committee</t>
  </si>
  <si>
    <t xml:space="preserve">Medium</t>
  </si>
  <si>
    <t xml:space="preserve">Business Sponsor</t>
  </si>
  <si>
    <t xml:space="preserve">Low</t>
  </si>
  <si>
    <t xml:space="preserve">Below Medium</t>
  </si>
  <si>
    <t xml:space="preserve">Product Owner</t>
  </si>
  <si>
    <t xml:space="preserve">Unassessed changes show 'To assess' and route to the Product Owner for triage.</t>
  </si>
  <si>
    <t xml:space="preserve">Stage and decision values</t>
  </si>
  <si>
    <t xml:space="preserve">Field</t>
  </si>
  <si>
    <t xml:space="preserve">Values</t>
  </si>
  <si>
    <t xml:space="preserve">Stage</t>
  </si>
  <si>
    <t xml:space="preserve">Logged → Under Assessment → Awaiting Decision → Implementing → Closed. Rejected, deferred and withdrawn CRs move straight to Closed.</t>
  </si>
  <si>
    <t xml:space="preserve">Decision</t>
  </si>
  <si>
    <t xml:space="preserve">Pending · Approved · Approved with Conditions · Rejected · Deferred (moved to a later phase) · Withdrawn (requester no longer needs it)</t>
  </si>
  <si>
    <t xml:space="preserve">Implementation</t>
  </si>
  <si>
    <t xml:space="preserve">Not Started · In Progress · Implemented · Verified · N/A</t>
  </si>
  <si>
    <t xml:space="preserve">How to maintain this log</t>
  </si>
  <si>
    <t xml:space="preserve">1. Log every request, including ones likely to be rejected. IDs follow CR-##.</t>
  </si>
  <si>
    <t xml:space="preserve">2. Triage within 2 business days: is this a baseline change or normal backlog refinement?</t>
  </si>
  <si>
    <t xml:space="preserve">3. Complete the impact assessment with the Tech Lead, BA and Compliance within 5 business days. Always offer options, not only yes or no.</t>
  </si>
  <si>
    <t xml:space="preserve">4. Take the change to the required approver before the Decision Needed By date. Record who decided, when and why; no verbal-only approvals.</t>
  </si>
  <si>
    <t xml:space="preserve">5. Record the approved impact (which may be smaller than requested), then update the backlog, release plan, RAID log and SOW as needed and list them in Baselines Updated.</t>
  </si>
  <si>
    <t xml:space="preserve">6. Close the CR once implemented and verified. Never delete rows; rejected and deferred changes are part of the audit trail.</t>
  </si>
  <si>
    <t xml:space="preserve">Grey columns in the log calculate automatically. Yellow cells on the Cover and Dashboard are editable settings.</t>
  </si>
  <si>
    <t xml:space="preserve">Version history</t>
  </si>
  <si>
    <t xml:space="preserve">Date</t>
  </si>
  <si>
    <t xml:space="preserve">Author</t>
  </si>
  <si>
    <t xml:space="preserve">Change summary</t>
  </si>
  <si>
    <t xml:space="preserve">Bhawna</t>
  </si>
  <si>
    <t xml:space="preserve">Initial log created; CRs raised since MVP scope baseline included.</t>
  </si>
  <si>
    <t xml:space="preserve">Change Control Dashboard</t>
  </si>
  <si>
    <t xml:space="preserve">Merchant Payment Operations &amp; Dispute Hub · Simulation project · Figures update automatically from the Change Log</t>
  </si>
  <si>
    <t xml:space="preserve">Summary</t>
  </si>
  <si>
    <t xml:space="preserve">Total CRs</t>
  </si>
  <si>
    <t xml:space="preserve">Pending decision</t>
  </si>
  <si>
    <t xml:space="preserve">Approved (incl. conditions)</t>
  </si>
  <si>
    <t xml:space="preserve">Rejected</t>
  </si>
  <si>
    <t xml:space="preserve">Deferred / Withdrawn</t>
  </si>
  <si>
    <t xml:space="preserve">Approval rate</t>
  </si>
  <si>
    <t xml:space="preserve">Avg days to decision</t>
  </si>
  <si>
    <t xml:space="preserve">Decisions overdue</t>
  </si>
  <si>
    <t xml:space="preserve">Cumulative impact against contingency</t>
  </si>
  <si>
    <t xml:space="preserve">Measure</t>
  </si>
  <si>
    <t xml:space="preserve">Contingency agreed at baseline</t>
  </si>
  <si>
    <t xml:space="preserve">Approved changes to date</t>
  </si>
  <si>
    <t xml:space="preserve">Contingency remaining</t>
  </si>
  <si>
    <t xml:space="preserve">Pending CRs (as requested)</t>
  </si>
  <si>
    <t xml:space="preserve">Remaining if all pending approved as requested</t>
  </si>
  <si>
    <t xml:space="preserve">Schedule (working days)</t>
  </si>
  <si>
    <t xml:space="preserve">Effort (story points)</t>
  </si>
  <si>
    <t xml:space="preserve">Cost (USD)</t>
  </si>
  <si>
    <t xml:space="preserve">Yellow cells are illustrative baseline settings; edit them to match the agreed plan. Pending figures use impact as requested, before any smaller option is chosen.</t>
  </si>
  <si>
    <t xml:space="preserve">Go-live forecast</t>
  </si>
  <si>
    <t xml:space="preserve">How it's calculated</t>
  </si>
  <si>
    <t xml:space="preserve">Baseline go-live (includes schedule contingency)</t>
  </si>
  <si>
    <t xml:space="preserve">Agreed at MVP scope baseline</t>
  </si>
  <si>
    <t xml:space="preserve">Forecast go-live with approved changes</t>
  </si>
  <si>
    <t xml:space="preserve">Moves only if approved schedule impact exceeds contingency</t>
  </si>
  <si>
    <t xml:space="preserve">Forecast if all pending CRs approved as requested</t>
  </si>
  <si>
    <t xml:space="preserve">Worst case; shows why options matter for pending decisions</t>
  </si>
  <si>
    <t xml:space="preserve">Decisions needed (pending CRs, earliest deadline first)</t>
  </si>
  <si>
    <t xml:space="preserve">CR ID</t>
  </si>
  <si>
    <t xml:space="preserve">Title</t>
  </si>
  <si>
    <t xml:space="preserve">Impact rating</t>
  </si>
  <si>
    <t xml:space="preserve">Decision needed by</t>
  </si>
  <si>
    <t xml:space="preserve">Recommendation</t>
  </si>
  <si>
    <t xml:space="preserve">Overdue?</t>
  </si>
  <si>
    <t xml:space="preserve">Changes by type</t>
  </si>
  <si>
    <t xml:space="preserve">Change type</t>
  </si>
  <si>
    <t xml:space="preserve">Total</t>
  </si>
  <si>
    <t xml:space="preserve">Pending</t>
  </si>
  <si>
    <t xml:space="preserve">Approved</t>
  </si>
  <si>
    <t xml:space="preserve">Rejected / Deferred</t>
  </si>
  <si>
    <t xml:space="preserve">Approved schedule (days)</t>
  </si>
  <si>
    <t xml:space="preserve">Scope</t>
  </si>
  <si>
    <t xml:space="preserve">Schedule</t>
  </si>
  <si>
    <t xml:space="preserve">Cost / Effort</t>
  </si>
  <si>
    <t xml:space="preserve">Requirements</t>
  </si>
  <si>
    <t xml:space="preserve">Technical</t>
  </si>
  <si>
    <t xml:space="preserve">Compliance</t>
  </si>
  <si>
    <t xml:space="preserve">Change Request Log</t>
  </si>
  <si>
    <t xml:space="preserve">Merchant Payment Operations &amp; Dispute Hub · Simulation project · Impact columns show the change as requested; Approved columns show what was actually agreed</t>
  </si>
  <si>
    <t xml:space="preserve">Grey columns calculate automatically. Edit white columns only; use dropdowns where provided.</t>
  </si>
  <si>
    <t xml:space="preserve">Description</t>
  </si>
  <si>
    <t xml:space="preserve">Requested By</t>
  </si>
  <si>
    <t xml:space="preserve">Date Raised</t>
  </si>
  <si>
    <t xml:space="preserve">Driver</t>
  </si>
  <si>
    <t xml:space="preserve">Change Type</t>
  </si>
  <si>
    <t xml:space="preserve">Baseline(s) Affected</t>
  </si>
  <si>
    <t xml:space="preserve">Priority</t>
  </si>
  <si>
    <t xml:space="preserve">Impact Assessment</t>
  </si>
  <si>
    <t xml:space="preserve">Schedule Impact (working days)</t>
  </si>
  <si>
    <t xml:space="preserve">Effort Impact (story points)</t>
  </si>
  <si>
    <t xml:space="preserve">Cost Impact (USD est.)</t>
  </si>
  <si>
    <t xml:space="preserve">Impact Rating</t>
  </si>
  <si>
    <t xml:space="preserve">Required Approver</t>
  </si>
  <si>
    <t xml:space="preserve">Options Considered</t>
  </si>
  <si>
    <t xml:space="preserve">Assessed By</t>
  </si>
  <si>
    <t xml:space="preserve">Decision Needed By</t>
  </si>
  <si>
    <t xml:space="preserve">Decided By</t>
  </si>
  <si>
    <t xml:space="preserve">Decision Date</t>
  </si>
  <si>
    <t xml:space="preserve">Decision Rationale / Conditions</t>
  </si>
  <si>
    <t xml:space="preserve">Approved Schedule Impact (days)</t>
  </si>
  <si>
    <t xml:space="preserve">Approved Effort (pts)</t>
  </si>
  <si>
    <t xml:space="preserve">Approved Cost (USD)</t>
  </si>
  <si>
    <t xml:space="preserve">Implementation Status</t>
  </si>
  <si>
    <t xml:space="preserve">Baselines Updated</t>
  </si>
  <si>
    <t xml:space="preserve">Linked Items</t>
  </si>
  <si>
    <t xml:space="preserve">Days Open / to Decision</t>
  </si>
  <si>
    <t xml:space="preserve">Decision Overdue?</t>
  </si>
  <si>
    <t xml:space="preserve">Last Updated</t>
  </si>
  <si>
    <t xml:space="preserve">Rank helper</t>
  </si>
  <si>
    <t xml:space="preserve">CR-01</t>
  </si>
  <si>
    <t xml:space="preserve">Add fraud case management to Dispute Hub MVP</t>
  </si>
  <si>
    <t xml:space="preserve">Fraud operations asked to view and manage fraud cases linked to a dispute from within the hub.</t>
  </si>
  <si>
    <t xml:space="preserve">Fraud Operations Lead</t>
  </si>
  <si>
    <t xml:space="preserve">Business Request</t>
  </si>
  <si>
    <t xml:space="preserve">MVP scope; Release plan</t>
  </si>
  <si>
    <t xml:space="preserve">New screens, APIs and permissions. Depends on the fraud case-ID service, which is already late (D-07). Adding in full would push go-live beyond schedule contingency.</t>
  </si>
  <si>
    <t xml:space="preserve">A: Add full feature to MVP and accept go-live slip.
B: Defer full feature to Phase 2.
C: MVP shows a read-only fraud case reference on the dispute record; full feature in Phase 2 (about 3 points).</t>
  </si>
  <si>
    <t xml:space="preserve">Option C. Meets the core need (agents can see a linked case) without moving go-live.</t>
  </si>
  <si>
    <t xml:space="preserve">Product Owner; Tech Lead</t>
  </si>
  <si>
    <t xml:space="preserve">Awaiting Decision</t>
  </si>
  <si>
    <t xml:space="preserve">Not Started</t>
  </si>
  <si>
    <t xml:space="preserve">R-07, D-07</t>
  </si>
  <si>
    <t xml:space="preserve">CR-02</t>
  </si>
  <si>
    <t xml:space="preserve">Make dispute reason codes and response windows configurable</t>
  </si>
  <si>
    <t xml:space="preserve">Replace hard-coded reason-code logic with reference data so card network rule changes don't need a code release.</t>
  </si>
  <si>
    <t xml:space="preserve">Regulatory</t>
  </si>
  <si>
    <t xml:space="preserve">Solution design; Backlog</t>
  </si>
  <si>
    <t xml:space="preserve">Lowers rework risk from network rule changes (R-01). Adds a configuration table and release process for reference data.</t>
  </si>
  <si>
    <t xml:space="preserve">A: Keep hard-coded logic.
B: Configuration table maintained by engineering.
C: Admin screen so dispute ops can edit codes.</t>
  </si>
  <si>
    <t xml:space="preserve">Option B for MVP; consider Option C in Phase 2.</t>
  </si>
  <si>
    <t xml:space="preserve">Tech Lead</t>
  </si>
  <si>
    <t xml:space="preserve">Implementing</t>
  </si>
  <si>
    <t xml:space="preserve">Approved as recommended. Change within schedule contingency.</t>
  </si>
  <si>
    <t xml:space="preserve">In Progress</t>
  </si>
  <si>
    <t xml:space="preserve">Backlog; Solution design; RAID (R-01)</t>
  </si>
  <si>
    <t xml:space="preserve">R-01, I-02</t>
  </si>
  <si>
    <t xml:space="preserve">CR-03</t>
  </si>
  <si>
    <t xml:space="preserve">Automated card-number redaction for evidence uploads</t>
  </si>
  <si>
    <t xml:space="preserve">Detect and redact full card numbers in merchant evidence files on upload.</t>
  </si>
  <si>
    <t xml:space="preserve">Compliance Lead</t>
  </si>
  <si>
    <t xml:space="preserve">Security requirements; Solution design; Backlog</t>
  </si>
  <si>
    <t xml:space="preserve">Critical</t>
  </si>
  <si>
    <t xml:space="preserve">Needed to keep evidence storage out of PCI DSS scope (R-02). Adds a processing step to uploads and requires InfoSec validation (D-03).</t>
  </si>
  <si>
    <t xml:space="preserve">A: Dispute ops manually review uploads.
B: Automated detection and redaction on upload.
C: Accept PDF uploads only, no images.</t>
  </si>
  <si>
    <t xml:space="preserve">Option B. Manual review doesn't scale at peak volume; Option C blocks common evidence types such as receipt photos.</t>
  </si>
  <si>
    <t xml:space="preserve">Tech Lead; Compliance Lead</t>
  </si>
  <si>
    <t xml:space="preserve">Approved with Conditions</t>
  </si>
  <si>
    <t xml:space="preserve">Approved on condition that InfoSec validates redaction accuracy before UAT sign-off.</t>
  </si>
  <si>
    <t xml:space="preserve">Security requirements; Backlog; Release plan; RAID (R-02)</t>
  </si>
  <si>
    <t xml:space="preserve">R-02, D-03</t>
  </si>
  <si>
    <t xml:space="preserve">CR-04</t>
  </si>
  <si>
    <t xml:space="preserve">Add Spanish language support to merchant portal</t>
  </si>
  <si>
    <t xml:space="preserve">Relationship team asked for a Spanish portal for a group of pilot merchants.</t>
  </si>
  <si>
    <t xml:space="preserve">Merchant Relationship Manager</t>
  </si>
  <si>
    <t xml:space="preserve">Stakeholder Feedback</t>
  </si>
  <si>
    <t xml:space="preserve">MVP scope (A-04: English only)</t>
  </si>
  <si>
    <t xml:space="preserve">Translation, localization testing and content governance for all portal screens.</t>
  </si>
  <si>
    <t xml:space="preserve">A: Add Spanish to MVP.
B: Defer to Phase 2.
C: Provide a Spanish PDF user guide for pilot merchants only.</t>
  </si>
  <si>
    <t xml:space="preserve">Option B with Option C as an interim measure.</t>
  </si>
  <si>
    <t xml:space="preserve">Closed</t>
  </si>
  <si>
    <t xml:space="preserve">Deferred</t>
  </si>
  <si>
    <t xml:space="preserve">Pilot merchants confirmed an English portal with a Spanish guide is workable. Added to Phase 2 backlog.</t>
  </si>
  <si>
    <t xml:space="preserve">N/A</t>
  </si>
  <si>
    <t xml:space="preserve">Phase 2 backlog</t>
  </si>
  <si>
    <t xml:space="preserve">A-04</t>
  </si>
  <si>
    <t xml:space="preserve">CR-05</t>
  </si>
  <si>
    <t xml:space="preserve">Change how dispute outcomes are reported</t>
  </si>
  <si>
    <t xml:space="preserve">Finance and dispute ops define partially reversed disputes differently, so the win-rate KPI can't be finalized (I-05).</t>
  </si>
  <si>
    <t xml:space="preserve">Finance Lead</t>
  </si>
  <si>
    <t xml:space="preserve">Reporting requirements; Data dictionary</t>
  </si>
  <si>
    <t xml:space="preserve">Changes win-rate logic in Power BI and two reporting stories already in progress.</t>
  </si>
  <si>
    <t xml:space="preserve">A: Finance definition (partial reversal counts as lost).
B: Ops definition (partial reversal counts as won).
C: Report three outcomes: won, partially won, lost.</t>
  </si>
  <si>
    <t xml:space="preserve">Option C. Keeps both teams' views visible and avoids re-defining the KPI later.</t>
  </si>
  <si>
    <t xml:space="preserve">Business Analyst</t>
  </si>
  <si>
    <t xml:space="preserve">I-05</t>
  </si>
  <si>
    <t xml:space="preserve">CR-06</t>
  </si>
  <si>
    <t xml:space="preserve">Run UAT in parallel with delayed penetration test</t>
  </si>
  <si>
    <t xml:space="preserve">InfoSec's committed pen test date is two weeks after the date needed (D-03), which would delay UAT.</t>
  </si>
  <si>
    <t xml:space="preserve">Project Manager</t>
  </si>
  <si>
    <t xml:space="preserve">Dependency Slip</t>
  </si>
  <si>
    <t xml:space="preserve">Release plan; UAT window</t>
  </si>
  <si>
    <t xml:space="preserve">Without a change, UAT start slips and go-live is at risk.</t>
  </si>
  <si>
    <t xml:space="preserve">A: Move UAT one week later and compress it.
B: Start UAT on non-security scope in parallel with the pen test; retest security-related stories after.
C: Move go-live by two weeks.</t>
  </si>
  <si>
    <t xml:space="preserve">Option B, subject to Compliance agreeing security sign-off can follow UAT start.</t>
  </si>
  <si>
    <t xml:space="preserve">Project Manager; QA Lead</t>
  </si>
  <si>
    <t xml:space="preserve">Under Assessment</t>
  </si>
  <si>
    <t xml:space="preserve">D-03, R-02</t>
  </si>
  <si>
    <t xml:space="preserve">CR-07</t>
  </si>
  <si>
    <t xml:space="preserve">Show 'last synced' timestamp on dispute list</t>
  </si>
  <si>
    <t xml:space="preserve">Display when dispute data was last refreshed from the processor feed.</t>
  </si>
  <si>
    <t xml:space="preserve">Dispute Ops Lead</t>
  </si>
  <si>
    <t xml:space="preserve">Backlog</t>
  </si>
  <si>
    <t xml:space="preserve">Small UI and API field change. Supports mitigation of stale-deadline risk (R-03).</t>
  </si>
  <si>
    <t xml:space="preserve">A: Add timestamp.
B: No change.</t>
  </si>
  <si>
    <t xml:space="preserve">Option A; swap with a lower-priority story of similar size.</t>
  </si>
  <si>
    <t xml:space="preserve">Fits in sprint capacity by swapping out a similar-sized story; no release impact.</t>
  </si>
  <si>
    <t xml:space="preserve">Verified</t>
  </si>
  <si>
    <t xml:space="preserve">Backlog; RAID (R-03)</t>
  </si>
  <si>
    <t xml:space="preserve">R-03</t>
  </si>
  <si>
    <t xml:space="preserve">CR-08</t>
  </si>
  <si>
    <t xml:space="preserve">Email nightly dispute data file to merchants</t>
  </si>
  <si>
    <t xml:space="preserve">Pilot merchant finance teams asked for a nightly email containing all dispute data.</t>
  </si>
  <si>
    <t xml:space="preserve">MVP scope; Security requirements</t>
  </si>
  <si>
    <t xml:space="preserve">Emailing dispute data files raises data security concerns and duplicates the in-portal export already in MVP.</t>
  </si>
  <si>
    <t xml:space="preserve">A: Nightly email file.
B: Use the on-demand CSV export already in MVP.
C: Reject.</t>
  </si>
  <si>
    <t xml:space="preserve">Option B.</t>
  </si>
  <si>
    <t xml:space="preserve">Product Owner; Compliance Lead</t>
  </si>
  <si>
    <t xml:space="preserve">Email transfer of dispute data doesn't meet security requirements; merchant need is met by existing portal export.</t>
  </si>
  <si>
    <t xml:space="preserve">None required</t>
  </si>
  <si>
    <t xml:space="preserve">R-02</t>
  </si>
  <si>
    <t xml:space="preserve">CR-09</t>
  </si>
  <si>
    <t xml:space="preserve">Add SMS reminders for dispute deadlines</t>
  </si>
  <si>
    <t xml:space="preserve">Dispute ops asked for SMS reminders in addition to email reminders before response deadlines.</t>
  </si>
  <si>
    <t xml:space="preserve">MVP scope</t>
  </si>
  <si>
    <t xml:space="preserve">Impact assessment in progress; needs SMS vendor and consent review.</t>
  </si>
  <si>
    <t xml:space="preserve">To be completed during assessment.</t>
  </si>
</sst>
</file>

<file path=xl/styles.xml><?xml version="1.0" encoding="utf-8"?>
<styleSheet xmlns="http://schemas.openxmlformats.org/spreadsheetml/2006/main">
  <numFmts count="9">
    <numFmt numFmtId="164" formatCode="General"/>
    <numFmt numFmtId="165" formatCode="dd\-mmm\-yyyy"/>
    <numFmt numFmtId="166" formatCode="0"/>
    <numFmt numFmtId="167" formatCode="\$#,##0;[RED]&quot;($&quot;#,##0\);\-"/>
    <numFmt numFmtId="168" formatCode="General"/>
    <numFmt numFmtId="169" formatCode="0%"/>
    <numFmt numFmtId="170" formatCode="0.0"/>
    <numFmt numFmtId="171" formatCode="#,##0;[RED]\(#,##0\);0"/>
    <numFmt numFmtId="172" formatCode="mm/dd/yy"/>
  </numFmts>
  <fonts count="19">
    <font>
      <sz val="11"/>
      <color theme="1"/>
      <name val="Calibri"/>
      <family val="2"/>
      <charset val="1"/>
    </font>
    <font>
      <sz val="10"/>
      <name val="Arial"/>
      <family val="0"/>
    </font>
    <font>
      <sz val="10"/>
      <name val="Arial"/>
      <family val="0"/>
    </font>
    <font>
      <sz val="10"/>
      <name val="Arial"/>
      <family val="0"/>
    </font>
    <font>
      <b val="true"/>
      <sz val="24"/>
      <color rgb="FF1F3A5F"/>
      <name val="Arial"/>
      <family val="0"/>
      <charset val="1"/>
    </font>
    <font>
      <b val="true"/>
      <sz val="14"/>
      <color rgb="FF2E7D8C"/>
      <name val="Arial"/>
      <family val="0"/>
      <charset val="1"/>
    </font>
    <font>
      <b val="true"/>
      <sz val="10"/>
      <color rgb="FF1F3A5F"/>
      <name val="Arial"/>
      <family val="0"/>
      <charset val="1"/>
    </font>
    <font>
      <sz val="10"/>
      <color rgb="FF000000"/>
      <name val="Arial"/>
      <family val="0"/>
      <charset val="1"/>
    </font>
    <font>
      <i val="true"/>
      <sz val="10"/>
      <color rgb="FF9C0006"/>
      <name val="Arial"/>
      <family val="0"/>
      <charset val="1"/>
    </font>
    <font>
      <b val="true"/>
      <sz val="12"/>
      <color rgb="FFFFFFFF"/>
      <name val="Arial"/>
      <family val="0"/>
      <charset val="1"/>
    </font>
    <font>
      <b val="true"/>
      <sz val="10"/>
      <color rgb="FF000000"/>
      <name val="Arial"/>
      <family val="0"/>
      <charset val="1"/>
    </font>
    <font>
      <b val="true"/>
      <sz val="10"/>
      <color rgb="FF0000FF"/>
      <name val="Arial"/>
      <family val="0"/>
      <charset val="1"/>
    </font>
    <font>
      <b val="true"/>
      <sz val="18"/>
      <color rgb="FF1F3A5F"/>
      <name val="Arial"/>
      <family val="0"/>
      <charset val="1"/>
    </font>
    <font>
      <i val="true"/>
      <sz val="10"/>
      <color rgb="FF595959"/>
      <name val="Arial"/>
      <family val="0"/>
      <charset val="1"/>
    </font>
    <font>
      <b val="true"/>
      <sz val="14"/>
      <color rgb="FF1F3A5F"/>
      <name val="Arial"/>
      <family val="0"/>
      <charset val="1"/>
    </font>
    <font>
      <b val="true"/>
      <sz val="14"/>
      <color rgb="FF9C0006"/>
      <name val="Arial"/>
      <family val="0"/>
      <charset val="1"/>
    </font>
    <font>
      <i val="true"/>
      <sz val="9"/>
      <color rgb="FF7F7F7F"/>
      <name val="Arial"/>
      <family val="0"/>
      <charset val="1"/>
    </font>
    <font>
      <b val="true"/>
      <sz val="16"/>
      <color rgb="FF1F3A5F"/>
      <name val="Arial"/>
      <family val="0"/>
      <charset val="1"/>
    </font>
    <font>
      <b val="true"/>
      <sz val="10"/>
      <color rgb="FFFFFFFF"/>
      <name val="Arial"/>
      <family val="0"/>
      <charset val="1"/>
    </font>
  </fonts>
  <fills count="7">
    <fill>
      <patternFill patternType="none"/>
    </fill>
    <fill>
      <patternFill patternType="gray125"/>
    </fill>
    <fill>
      <patternFill patternType="solid">
        <fgColor rgb="FF1F3A5F"/>
        <bgColor rgb="FF333333"/>
      </patternFill>
    </fill>
    <fill>
      <patternFill patternType="solid">
        <fgColor rgb="FFD9D9D9"/>
        <bgColor rgb="FFEDEDED"/>
      </patternFill>
    </fill>
    <fill>
      <patternFill patternType="solid">
        <fgColor rgb="FFFFF2CC"/>
        <bgColor rgb="FFF2F2F2"/>
      </patternFill>
    </fill>
    <fill>
      <patternFill patternType="solid">
        <fgColor rgb="FFF2F2F2"/>
        <bgColor rgb="FFEDEDED"/>
      </patternFill>
    </fill>
    <fill>
      <patternFill patternType="solid">
        <fgColor rgb="FF2E7D8C"/>
        <bgColor rgb="FF00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5"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6" fontId="11" fillId="4" borderId="1" xfId="0" applyFont="true" applyBorder="true" applyAlignment="true" applyProtection="false">
      <alignment horizontal="center" vertical="top" textRotation="0" wrapText="true" indent="0" shrinkToFit="false"/>
      <protection locked="true" hidden="false"/>
    </xf>
    <xf numFmtId="167" fontId="11" fillId="4"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4" fillId="0" borderId="1" xfId="0" applyFont="true" applyBorder="true" applyAlignment="true" applyProtection="false">
      <alignment horizontal="center" vertical="center" textRotation="0" wrapText="true" indent="0" shrinkToFit="false"/>
      <protection locked="true" hidden="false"/>
    </xf>
    <xf numFmtId="169" fontId="14" fillId="0" borderId="1" xfId="0" applyFont="true" applyBorder="true" applyAlignment="true" applyProtection="false">
      <alignment horizontal="center" vertical="center" textRotation="0" wrapText="true" indent="0" shrinkToFit="false"/>
      <protection locked="true" hidden="false"/>
    </xf>
    <xf numFmtId="170" fontId="14" fillId="0" borderId="1" xfId="0" applyFont="true" applyBorder="true" applyAlignment="true" applyProtection="false">
      <alignment horizontal="center" vertical="center" textRotation="0" wrapText="true" indent="0" shrinkToFit="false"/>
      <protection locked="true" hidden="false"/>
    </xf>
    <xf numFmtId="168" fontId="15" fillId="0" borderId="1" xfId="0" applyFont="true" applyBorder="true" applyAlignment="true" applyProtection="false">
      <alignment horizontal="center" vertical="center" textRotation="0" wrapText="true" indent="0" shrinkToFit="false"/>
      <protection locked="true" hidden="false"/>
    </xf>
    <xf numFmtId="166" fontId="11" fillId="4"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71" fontId="7" fillId="0" borderId="1" xfId="0" applyFont="true" applyBorder="true" applyAlignment="true" applyProtection="false">
      <alignment horizontal="center" vertical="center" textRotation="0" wrapText="true" indent="0" shrinkToFit="false"/>
      <protection locked="true" hidden="false"/>
    </xf>
    <xf numFmtId="167" fontId="11" fillId="4"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8" fontId="10" fillId="5" borderId="1" xfId="0" applyFont="true" applyBorder="true" applyAlignment="true" applyProtection="false">
      <alignment horizontal="center"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72" fontId="7" fillId="5"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name val="Arial"/>
        <charset val="1"/>
        <family val="0"/>
        <b val="1"/>
        <color rgb="FF9C0006"/>
        <sz val="10"/>
      </font>
      <fill>
        <patternFill>
          <bgColor rgb="FFFFC7CE"/>
        </patternFill>
      </fill>
    </dxf>
    <dxf>
      <font>
        <name val="Arial"/>
        <charset val="1"/>
        <family val="0"/>
        <b val="1"/>
        <color rgb="FF9C5700"/>
        <sz val="10"/>
      </font>
      <fill>
        <patternFill>
          <bgColor rgb="FFFFEB9C"/>
        </patternFill>
      </fill>
    </dxf>
    <dxf>
      <font>
        <name val="Arial"/>
        <charset val="1"/>
        <family val="0"/>
        <b val="1"/>
        <color rgb="FF006100"/>
        <sz val="10"/>
      </font>
      <fill>
        <patternFill>
          <bgColor rgb="FFC6EFCE"/>
        </patternFill>
      </fill>
    </dxf>
    <dxf>
      <font>
        <name val="Arial"/>
        <charset val="1"/>
        <family val="0"/>
        <b val="1"/>
        <color rgb="FF595959"/>
        <sz val="10"/>
      </font>
      <fill>
        <patternFill>
          <bgColor rgb="FFEDEDED"/>
        </patternFill>
      </fill>
    </dxf>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9C0006"/>
          <bgColor rgb="FF000000"/>
        </patternFill>
      </fill>
    </dxf>
    <dxf>
      <fill>
        <patternFill patternType="solid">
          <fgColor rgb="FF9C5700"/>
          <bgColor rgb="FF000000"/>
        </patternFill>
      </fill>
    </dxf>
    <dxf>
      <fill>
        <patternFill patternType="solid">
          <fgColor rgb="FF2E7D8C"/>
          <bgColor rgb="FF000000"/>
        </patternFill>
      </fill>
    </dxf>
    <dxf>
      <fill>
        <patternFill patternType="solid">
          <fgColor rgb="FFC6EFCE"/>
          <bgColor rgb="FF000000"/>
        </patternFill>
      </fill>
    </dxf>
    <dxf>
      <fill>
        <patternFill patternType="solid">
          <fgColor rgb="FFEDEDED"/>
          <bgColor rgb="FF000000"/>
        </patternFill>
      </fill>
    </dxf>
    <dxf>
      <fill>
        <patternFill patternType="solid">
          <fgColor rgb="FFF2F2F2"/>
          <bgColor rgb="FF000000"/>
        </patternFill>
      </fill>
    </dxf>
    <dxf>
      <fill>
        <patternFill patternType="solid">
          <fgColor rgb="FF006100"/>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A5F"/>
      <rgbColor rgb="FF2E7D8C"/>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7" min="3" style="0" width="20"/>
  </cols>
  <sheetData>
    <row r="2" customFormat="false" ht="29.15" hidden="false" customHeight="false" outlineLevel="0" collapsed="false">
      <c r="B2" s="1" t="s">
        <v>0</v>
      </c>
    </row>
    <row r="3" customFormat="false" ht="17.35" hidden="false" customHeight="false" outlineLevel="0" collapsed="false">
      <c r="B3" s="2" t="s">
        <v>1</v>
      </c>
    </row>
    <row r="5" customFormat="false" ht="15" hidden="false" customHeight="true" outlineLevel="0" collapsed="false">
      <c r="B5" s="3" t="s">
        <v>2</v>
      </c>
      <c r="C5" s="4" t="s">
        <v>3</v>
      </c>
      <c r="D5" s="4"/>
      <c r="E5" s="4"/>
      <c r="F5" s="4"/>
      <c r="G5" s="4"/>
    </row>
    <row r="6" customFormat="false" ht="15" hidden="false" customHeight="true" outlineLevel="0" collapsed="false">
      <c r="B6" s="3" t="s">
        <v>4</v>
      </c>
      <c r="C6" s="4" t="s">
        <v>5</v>
      </c>
      <c r="D6" s="4"/>
      <c r="E6" s="4"/>
      <c r="F6" s="4"/>
      <c r="G6" s="4"/>
    </row>
    <row r="7" customFormat="false" ht="15" hidden="false" customHeight="false" outlineLevel="0" collapsed="false">
      <c r="B7" s="3" t="s">
        <v>6</v>
      </c>
      <c r="C7" s="5" t="n">
        <v>46275</v>
      </c>
      <c r="D7" s="5"/>
      <c r="E7" s="5"/>
      <c r="F7" s="5"/>
      <c r="G7" s="5"/>
    </row>
    <row r="8" customFormat="false" ht="15" hidden="false" customHeight="true" outlineLevel="0" collapsed="false">
      <c r="B8" s="3" t="s">
        <v>7</v>
      </c>
      <c r="C8" s="4" t="s">
        <v>8</v>
      </c>
      <c r="D8" s="4"/>
      <c r="E8" s="4"/>
      <c r="F8" s="4"/>
      <c r="G8" s="4"/>
    </row>
    <row r="9" customFormat="false" ht="15" hidden="false" customHeight="true" outlineLevel="0" collapsed="false">
      <c r="B9" s="3" t="s">
        <v>9</v>
      </c>
      <c r="C9" s="4" t="s">
        <v>10</v>
      </c>
      <c r="D9" s="4"/>
      <c r="E9" s="4"/>
      <c r="F9" s="4"/>
      <c r="G9" s="4"/>
    </row>
    <row r="10" customFormat="false" ht="15" hidden="false" customHeight="true" outlineLevel="0" collapsed="false">
      <c r="B10" s="3" t="s">
        <v>11</v>
      </c>
      <c r="C10" s="4" t="s">
        <v>12</v>
      </c>
      <c r="D10" s="4"/>
      <c r="E10" s="4"/>
      <c r="F10" s="4"/>
      <c r="G10" s="4"/>
    </row>
    <row r="11" customFormat="false" ht="30" hidden="false" customHeight="true" outlineLevel="0" collapsed="false">
      <c r="B11" s="3" t="s">
        <v>13</v>
      </c>
      <c r="C11" s="6" t="s">
        <v>14</v>
      </c>
      <c r="D11" s="6"/>
      <c r="E11" s="6"/>
      <c r="F11" s="6"/>
      <c r="G11" s="6"/>
    </row>
    <row r="13" customFormat="false" ht="19.5" hidden="false" customHeight="true" outlineLevel="0" collapsed="false">
      <c r="B13" s="7" t="s">
        <v>15</v>
      </c>
      <c r="C13" s="8"/>
      <c r="D13" s="8"/>
      <c r="E13" s="8"/>
      <c r="F13" s="8"/>
      <c r="G13" s="8"/>
    </row>
    <row r="14" customFormat="false" ht="43.5" hidden="false" customHeight="true" outlineLevel="0" collapsed="false">
      <c r="B14" s="9" t="s">
        <v>16</v>
      </c>
      <c r="C14" s="9"/>
      <c r="D14" s="9"/>
      <c r="E14" s="9"/>
      <c r="F14" s="9"/>
      <c r="G14" s="9"/>
    </row>
    <row r="16" customFormat="false" ht="19.5" hidden="false" customHeight="true" outlineLevel="0" collapsed="false">
      <c r="B16" s="7" t="s">
        <v>17</v>
      </c>
      <c r="C16" s="8"/>
      <c r="D16" s="8"/>
      <c r="E16" s="8"/>
      <c r="F16" s="8"/>
      <c r="G16" s="8"/>
    </row>
    <row r="17" customFormat="false" ht="15" hidden="false" customHeight="true" outlineLevel="0" collapsed="false">
      <c r="B17" s="10" t="s">
        <v>18</v>
      </c>
      <c r="C17" s="10"/>
      <c r="D17" s="10"/>
      <c r="E17" s="10" t="s">
        <v>19</v>
      </c>
      <c r="F17" s="10"/>
      <c r="G17" s="10"/>
    </row>
    <row r="18" customFormat="false" ht="18" hidden="false" customHeight="true" outlineLevel="0" collapsed="false">
      <c r="B18" s="11" t="s">
        <v>20</v>
      </c>
      <c r="C18" s="11"/>
      <c r="D18" s="11"/>
      <c r="E18" s="11" t="s">
        <v>21</v>
      </c>
      <c r="F18" s="11"/>
      <c r="G18" s="11"/>
    </row>
    <row r="19" customFormat="false" ht="18" hidden="false" customHeight="true" outlineLevel="0" collapsed="false">
      <c r="B19" s="11" t="s">
        <v>22</v>
      </c>
      <c r="C19" s="11"/>
      <c r="D19" s="11"/>
      <c r="E19" s="11" t="s">
        <v>23</v>
      </c>
      <c r="F19" s="11"/>
      <c r="G19" s="11"/>
    </row>
    <row r="20" customFormat="false" ht="18" hidden="false" customHeight="true" outlineLevel="0" collapsed="false">
      <c r="B20" s="11" t="s">
        <v>24</v>
      </c>
      <c r="C20" s="11"/>
      <c r="D20" s="11"/>
      <c r="E20" s="11" t="s">
        <v>25</v>
      </c>
      <c r="F20" s="11"/>
      <c r="G20" s="11"/>
    </row>
    <row r="21" customFormat="false" ht="18" hidden="false" customHeight="true" outlineLevel="0" collapsed="false">
      <c r="B21" s="11" t="s">
        <v>26</v>
      </c>
      <c r="C21" s="11"/>
      <c r="D21" s="11"/>
      <c r="E21" s="11" t="s">
        <v>27</v>
      </c>
      <c r="F21" s="11"/>
      <c r="G21" s="11"/>
    </row>
    <row r="22" customFormat="false" ht="18" hidden="false" customHeight="true" outlineLevel="0" collapsed="false">
      <c r="B22" s="11" t="s">
        <v>28</v>
      </c>
      <c r="C22" s="11"/>
      <c r="D22" s="11"/>
      <c r="E22" s="11" t="s">
        <v>29</v>
      </c>
      <c r="F22" s="11"/>
      <c r="G22" s="11"/>
    </row>
    <row r="24" customFormat="false" ht="19.5" hidden="false" customHeight="true" outlineLevel="0" collapsed="false">
      <c r="B24" s="7" t="s">
        <v>30</v>
      </c>
      <c r="C24" s="8"/>
      <c r="D24" s="8"/>
      <c r="E24" s="8"/>
      <c r="F24" s="8"/>
      <c r="G24" s="8"/>
    </row>
    <row r="25" customFormat="false" ht="31.5" hidden="false" customHeight="true" outlineLevel="0" collapsed="false">
      <c r="B25" s="9" t="s">
        <v>31</v>
      </c>
      <c r="C25" s="9"/>
      <c r="D25" s="9"/>
      <c r="E25" s="9"/>
      <c r="F25" s="9"/>
      <c r="G25" s="9"/>
    </row>
    <row r="26" customFormat="false" ht="23.85" hidden="false" customHeight="true" outlineLevel="0" collapsed="false">
      <c r="B26" s="10" t="s">
        <v>32</v>
      </c>
      <c r="C26" s="10" t="s">
        <v>33</v>
      </c>
      <c r="D26" s="10" t="s">
        <v>34</v>
      </c>
      <c r="E26" s="10" t="s">
        <v>35</v>
      </c>
      <c r="F26" s="10" t="s">
        <v>36</v>
      </c>
      <c r="G26" s="10"/>
    </row>
    <row r="27" customFormat="false" ht="15" hidden="false" customHeight="true" outlineLevel="0" collapsed="false">
      <c r="B27" s="12" t="s">
        <v>37</v>
      </c>
      <c r="C27" s="13" t="n">
        <v>5</v>
      </c>
      <c r="D27" s="13" t="n">
        <v>40</v>
      </c>
      <c r="E27" s="14" t="n">
        <v>50000</v>
      </c>
      <c r="F27" s="15" t="s">
        <v>38</v>
      </c>
      <c r="G27" s="15"/>
    </row>
    <row r="28" customFormat="false" ht="15" hidden="false" customHeight="true" outlineLevel="0" collapsed="false">
      <c r="B28" s="12" t="s">
        <v>39</v>
      </c>
      <c r="C28" s="13" t="n">
        <v>2</v>
      </c>
      <c r="D28" s="13" t="n">
        <v>13</v>
      </c>
      <c r="E28" s="14" t="n">
        <v>10000</v>
      </c>
      <c r="F28" s="15" t="s">
        <v>40</v>
      </c>
      <c r="G28" s="15"/>
    </row>
    <row r="29" customFormat="false" ht="15" hidden="false" customHeight="true" outlineLevel="0" collapsed="false">
      <c r="B29" s="12" t="s">
        <v>41</v>
      </c>
      <c r="C29" s="16" t="s">
        <v>42</v>
      </c>
      <c r="D29" s="16" t="s">
        <v>42</v>
      </c>
      <c r="E29" s="16" t="s">
        <v>42</v>
      </c>
      <c r="F29" s="15" t="s">
        <v>43</v>
      </c>
      <c r="G29" s="15"/>
    </row>
    <row r="30" customFormat="false" ht="18" hidden="false" customHeight="true" outlineLevel="0" collapsed="false">
      <c r="B30" s="9" t="s">
        <v>44</v>
      </c>
      <c r="C30" s="9"/>
      <c r="D30" s="9"/>
      <c r="E30" s="9"/>
      <c r="F30" s="9"/>
      <c r="G30" s="9"/>
    </row>
    <row r="32" customFormat="false" ht="19.5" hidden="false" customHeight="true" outlineLevel="0" collapsed="false">
      <c r="B32" s="7" t="s">
        <v>45</v>
      </c>
      <c r="C32" s="8"/>
      <c r="D32" s="8"/>
      <c r="E32" s="8"/>
      <c r="F32" s="8"/>
      <c r="G32" s="8"/>
    </row>
    <row r="33" customFormat="false" ht="15" hidden="false" customHeight="true" outlineLevel="0" collapsed="false">
      <c r="B33" s="10" t="s">
        <v>46</v>
      </c>
      <c r="C33" s="10" t="s">
        <v>47</v>
      </c>
      <c r="D33" s="10"/>
      <c r="E33" s="10"/>
      <c r="F33" s="10"/>
      <c r="G33" s="10"/>
    </row>
    <row r="34" customFormat="false" ht="31.5" hidden="false" customHeight="true" outlineLevel="0" collapsed="false">
      <c r="B34" s="17" t="s">
        <v>48</v>
      </c>
      <c r="C34" s="11" t="s">
        <v>49</v>
      </c>
      <c r="D34" s="11"/>
      <c r="E34" s="11"/>
      <c r="F34" s="11"/>
      <c r="G34" s="11"/>
    </row>
    <row r="35" customFormat="false" ht="31.5" hidden="false" customHeight="true" outlineLevel="0" collapsed="false">
      <c r="B35" s="17" t="s">
        <v>50</v>
      </c>
      <c r="C35" s="11" t="s">
        <v>51</v>
      </c>
      <c r="D35" s="11"/>
      <c r="E35" s="11"/>
      <c r="F35" s="11"/>
      <c r="G35" s="11"/>
    </row>
    <row r="36" customFormat="false" ht="18" hidden="false" customHeight="true" outlineLevel="0" collapsed="false">
      <c r="B36" s="17" t="s">
        <v>52</v>
      </c>
      <c r="C36" s="11" t="s">
        <v>53</v>
      </c>
      <c r="D36" s="11"/>
      <c r="E36" s="11"/>
      <c r="F36" s="11"/>
      <c r="G36" s="11"/>
    </row>
    <row r="38" customFormat="false" ht="19.5" hidden="false" customHeight="true" outlineLevel="0" collapsed="false">
      <c r="B38" s="7" t="s">
        <v>54</v>
      </c>
      <c r="C38" s="8"/>
      <c r="D38" s="8"/>
      <c r="E38" s="8"/>
      <c r="F38" s="8"/>
      <c r="G38" s="8"/>
    </row>
    <row r="39" customFormat="false" ht="18" hidden="false" customHeight="true" outlineLevel="0" collapsed="false">
      <c r="B39" s="9" t="s">
        <v>55</v>
      </c>
      <c r="C39" s="9"/>
      <c r="D39" s="9"/>
      <c r="E39" s="9"/>
      <c r="F39" s="9"/>
      <c r="G39" s="9"/>
    </row>
    <row r="40" customFormat="false" ht="18" hidden="false" customHeight="true" outlineLevel="0" collapsed="false">
      <c r="B40" s="9" t="s">
        <v>56</v>
      </c>
      <c r="C40" s="9"/>
      <c r="D40" s="9"/>
      <c r="E40" s="9"/>
      <c r="F40" s="9"/>
      <c r="G40" s="9"/>
    </row>
    <row r="41" customFormat="false" ht="30" hidden="false" customHeight="true" outlineLevel="0" collapsed="false">
      <c r="B41" s="9" t="s">
        <v>57</v>
      </c>
      <c r="C41" s="9"/>
      <c r="D41" s="9"/>
      <c r="E41" s="9"/>
      <c r="F41" s="9"/>
      <c r="G41" s="9"/>
    </row>
    <row r="42" customFormat="false" ht="30" hidden="false" customHeight="true" outlineLevel="0" collapsed="false">
      <c r="B42" s="9" t="s">
        <v>58</v>
      </c>
      <c r="C42" s="9"/>
      <c r="D42" s="9"/>
      <c r="E42" s="9"/>
      <c r="F42" s="9"/>
      <c r="G42" s="9"/>
    </row>
    <row r="43" customFormat="false" ht="30" hidden="false" customHeight="true" outlineLevel="0" collapsed="false">
      <c r="B43" s="9" t="s">
        <v>59</v>
      </c>
      <c r="C43" s="9"/>
      <c r="D43" s="9"/>
      <c r="E43" s="9"/>
      <c r="F43" s="9"/>
      <c r="G43" s="9"/>
    </row>
    <row r="44" customFormat="false" ht="30" hidden="false" customHeight="true" outlineLevel="0" collapsed="false">
      <c r="B44" s="9" t="s">
        <v>60</v>
      </c>
      <c r="C44" s="9"/>
      <c r="D44" s="9"/>
      <c r="E44" s="9"/>
      <c r="F44" s="9"/>
      <c r="G44" s="9"/>
    </row>
    <row r="45" customFormat="false" ht="30" hidden="false" customHeight="true" outlineLevel="0" collapsed="false">
      <c r="B45" s="9" t="s">
        <v>61</v>
      </c>
      <c r="C45" s="9"/>
      <c r="D45" s="9"/>
      <c r="E45" s="9"/>
      <c r="F45" s="9"/>
      <c r="G45" s="9"/>
    </row>
    <row r="47" customFormat="false" ht="19.5" hidden="false" customHeight="true" outlineLevel="0" collapsed="false">
      <c r="B47" s="7" t="s">
        <v>62</v>
      </c>
      <c r="C47" s="8"/>
      <c r="D47" s="8"/>
      <c r="E47" s="8"/>
      <c r="F47" s="8"/>
      <c r="G47" s="8"/>
    </row>
    <row r="48" customFormat="false" ht="15" hidden="false" customHeight="true" outlineLevel="0" collapsed="false">
      <c r="B48" s="10" t="s">
        <v>4</v>
      </c>
      <c r="C48" s="10" t="s">
        <v>63</v>
      </c>
      <c r="D48" s="10" t="s">
        <v>64</v>
      </c>
      <c r="E48" s="10" t="s">
        <v>65</v>
      </c>
      <c r="F48" s="10"/>
      <c r="G48" s="10"/>
    </row>
    <row r="49" customFormat="false" ht="15" hidden="false" customHeight="true" outlineLevel="0" collapsed="false">
      <c r="B49" s="16" t="s">
        <v>5</v>
      </c>
      <c r="C49" s="18" t="n">
        <v>46275</v>
      </c>
      <c r="D49" s="16" t="s">
        <v>66</v>
      </c>
      <c r="E49" s="11" t="s">
        <v>67</v>
      </c>
      <c r="F49" s="11"/>
      <c r="G49" s="11"/>
    </row>
  </sheetData>
  <mergeCells count="39">
    <mergeCell ref="C5:G5"/>
    <mergeCell ref="C6:G6"/>
    <mergeCell ref="C7:G7"/>
    <mergeCell ref="C8:G8"/>
    <mergeCell ref="C9:G9"/>
    <mergeCell ref="C10:G10"/>
    <mergeCell ref="C11:G11"/>
    <mergeCell ref="B14:G14"/>
    <mergeCell ref="B17:D17"/>
    <mergeCell ref="E17:G17"/>
    <mergeCell ref="B18:D18"/>
    <mergeCell ref="E18:G18"/>
    <mergeCell ref="B19:D19"/>
    <mergeCell ref="E19:G19"/>
    <mergeCell ref="B20:D20"/>
    <mergeCell ref="E20:G20"/>
    <mergeCell ref="B21:D21"/>
    <mergeCell ref="E21:G21"/>
    <mergeCell ref="B22:D22"/>
    <mergeCell ref="E22:G22"/>
    <mergeCell ref="B25:G25"/>
    <mergeCell ref="F26:G26"/>
    <mergeCell ref="F27:G27"/>
    <mergeCell ref="F28:G28"/>
    <mergeCell ref="F29:G29"/>
    <mergeCell ref="B30:G30"/>
    <mergeCell ref="C33:G33"/>
    <mergeCell ref="C34:G34"/>
    <mergeCell ref="C35:G35"/>
    <mergeCell ref="C36:G36"/>
    <mergeCell ref="B39:G39"/>
    <mergeCell ref="B40:G40"/>
    <mergeCell ref="B41:G41"/>
    <mergeCell ref="B42:G42"/>
    <mergeCell ref="B43:G43"/>
    <mergeCell ref="B44:G44"/>
    <mergeCell ref="B45:G45"/>
    <mergeCell ref="E48:G48"/>
    <mergeCell ref="E49:G4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34"/>
    <col collapsed="false" customWidth="true" hidden="false" outlineLevel="0" max="6" min="4" style="0" width="16"/>
    <col collapsed="false" customWidth="true" hidden="false" outlineLevel="0" max="8" min="7" style="0" width="18"/>
    <col collapsed="false" customWidth="true" hidden="false" outlineLevel="0" max="9" min="9" style="0" width="14"/>
  </cols>
  <sheetData>
    <row r="1" customFormat="false" ht="22.05" hidden="false" customHeight="false" outlineLevel="0" collapsed="false">
      <c r="B1" s="19" t="s">
        <v>68</v>
      </c>
    </row>
    <row r="2" customFormat="false" ht="15" hidden="false" customHeight="false" outlineLevel="0" collapsed="false">
      <c r="B2" s="20" t="s">
        <v>69</v>
      </c>
    </row>
    <row r="3" customFormat="false" ht="15" hidden="false" customHeight="false" outlineLevel="0" collapsed="false">
      <c r="B3" s="21" t="str">
        <f aca="false">"Reporting date: "&amp;TEXT(Cover!$C$7,"DD-MMM-YYYY")</f>
        <v>Reporting date: 10-Sep-2026</v>
      </c>
    </row>
    <row r="5" customFormat="false" ht="19.5" hidden="false" customHeight="true" outlineLevel="0" collapsed="false">
      <c r="B5" s="7" t="s">
        <v>70</v>
      </c>
      <c r="C5" s="8"/>
      <c r="D5" s="8"/>
      <c r="E5" s="8"/>
      <c r="F5" s="8"/>
      <c r="G5" s="8"/>
      <c r="H5" s="8"/>
      <c r="I5" s="8"/>
    </row>
    <row r="6" customFormat="false" ht="31.5" hidden="false" customHeight="true" outlineLevel="0" collapsed="false">
      <c r="B6" s="10" t="s">
        <v>71</v>
      </c>
      <c r="C6" s="10" t="s">
        <v>72</v>
      </c>
      <c r="D6" s="10" t="s">
        <v>73</v>
      </c>
      <c r="E6" s="10" t="s">
        <v>74</v>
      </c>
      <c r="F6" s="10" t="s">
        <v>75</v>
      </c>
      <c r="G6" s="10" t="s">
        <v>76</v>
      </c>
      <c r="H6" s="10" t="s">
        <v>77</v>
      </c>
      <c r="I6" s="10" t="s">
        <v>78</v>
      </c>
    </row>
    <row r="7" customFormat="false" ht="30" hidden="false" customHeight="true" outlineLevel="0" collapsed="false">
      <c r="B7" s="22" t="n">
        <f aca="false">COUNTA('Change Log'!$A$5:$A$54)</f>
        <v>9</v>
      </c>
      <c r="C7" s="22" t="n">
        <f aca="false">COUNTIFS('Change Log'!$U$5:$U$54,"Pending")</f>
        <v>4</v>
      </c>
      <c r="D7" s="22" t="n">
        <f aca="false">COUNTIFS('Change Log'!$U$5:$U$54,"Approved")+COUNTIFS('Change Log'!$U$5:$U$54,"Approved with Conditions")</f>
        <v>3</v>
      </c>
      <c r="E7" s="22" t="n">
        <f aca="false">COUNTIFS('Change Log'!$U$5:$U$54,"Rejected")</f>
        <v>1</v>
      </c>
      <c r="F7" s="22" t="n">
        <f aca="false">COUNTIFS('Change Log'!$U$5:$U$54,"Deferred")+COUNTIFS('Change Log'!$U$5:$U$54,"Withdrawn")</f>
        <v>1</v>
      </c>
      <c r="G7" s="23" t="n">
        <f aca="false">IFERROR(D7/(D7+E7+F7),0)</f>
        <v>0.6</v>
      </c>
      <c r="H7" s="24" t="n">
        <f aca="false">IFERROR(AVERAGEIFS('Change Log'!$AE$5:$AE$54,'Change Log'!$U$5:$U$54,"&lt;&gt;Pending",'Change Log'!$A$5:$A$54,"&lt;&gt;"),"")</f>
        <v>8</v>
      </c>
      <c r="I7" s="25" t="n">
        <f aca="false">COUNTIFS('Change Log'!$AF$5:$AF$54,"Overdue")</f>
        <v>0</v>
      </c>
    </row>
    <row r="9" customFormat="false" ht="19.5" hidden="false" customHeight="true" outlineLevel="0" collapsed="false">
      <c r="B9" s="7" t="s">
        <v>79</v>
      </c>
      <c r="C9" s="8"/>
      <c r="D9" s="8"/>
      <c r="E9" s="8"/>
      <c r="F9" s="8"/>
      <c r="G9" s="8"/>
      <c r="H9" s="8"/>
      <c r="I9" s="8"/>
    </row>
    <row r="10" customFormat="false" ht="43.5" hidden="false" customHeight="true" outlineLevel="0" collapsed="false">
      <c r="B10" s="10" t="s">
        <v>80</v>
      </c>
      <c r="C10" s="10"/>
      <c r="D10" s="10" t="s">
        <v>81</v>
      </c>
      <c r="E10" s="10" t="s">
        <v>82</v>
      </c>
      <c r="F10" s="10" t="s">
        <v>83</v>
      </c>
      <c r="G10" s="10" t="s">
        <v>84</v>
      </c>
      <c r="H10" s="10" t="s">
        <v>85</v>
      </c>
    </row>
    <row r="11" customFormat="false" ht="21.75" hidden="false" customHeight="true" outlineLevel="0" collapsed="false">
      <c r="B11" s="17" t="s">
        <v>86</v>
      </c>
      <c r="C11" s="17"/>
      <c r="D11" s="26" t="n">
        <v>10</v>
      </c>
      <c r="E11" s="27" t="n">
        <f aca="false">SUMIFS('Change Log'!$Y$5:$Y$54,'Change Log'!$U$5:$U$54,"Approved")+SUMIFS('Change Log'!$Y$5:$Y$54,'Change Log'!$U$5:$U$54,"Approved with Conditions")</f>
        <v>9</v>
      </c>
      <c r="F11" s="28" t="n">
        <f aca="false">D11-E11</f>
        <v>1</v>
      </c>
      <c r="G11" s="27" t="n">
        <f aca="false">SUMIFS('Change Log'!$K$5:$K$54,'Change Log'!$U$5:$U$54,"Pending")</f>
        <v>18</v>
      </c>
      <c r="H11" s="28" t="n">
        <f aca="false">F11-G11</f>
        <v>-17</v>
      </c>
    </row>
    <row r="12" customFormat="false" ht="21.75" hidden="false" customHeight="true" outlineLevel="0" collapsed="false">
      <c r="B12" s="17" t="s">
        <v>87</v>
      </c>
      <c r="C12" s="17"/>
      <c r="D12" s="26" t="n">
        <v>80</v>
      </c>
      <c r="E12" s="27" t="n">
        <f aca="false">SUMIFS('Change Log'!$Z$5:$Z$54,'Change Log'!$U$5:$U$54,"Approved")+SUMIFS('Change Log'!$Z$5:$Z$54,'Change Log'!$U$5:$U$54,"Approved with Conditions")</f>
        <v>37</v>
      </c>
      <c r="F12" s="28" t="n">
        <f aca="false">D12-E12</f>
        <v>43</v>
      </c>
      <c r="G12" s="27" t="n">
        <f aca="false">SUMIFS('Change Log'!$L$5:$L$54,'Change Log'!$U$5:$U$54,"Pending")</f>
        <v>68</v>
      </c>
      <c r="H12" s="28" t="n">
        <f aca="false">F12-G12</f>
        <v>-25</v>
      </c>
    </row>
    <row r="13" customFormat="false" ht="21.75" hidden="false" customHeight="true" outlineLevel="0" collapsed="false">
      <c r="B13" s="17" t="s">
        <v>88</v>
      </c>
      <c r="C13" s="17"/>
      <c r="D13" s="29" t="n">
        <v>75000</v>
      </c>
      <c r="E13" s="30" t="n">
        <f aca="false">SUMIFS('Change Log'!$AA$5:$AA$54,'Change Log'!$U$5:$U$54,"Approved")+SUMIFS('Change Log'!$AA$5:$AA$54,'Change Log'!$U$5:$U$54,"Approved with Conditions")</f>
        <v>28500</v>
      </c>
      <c r="F13" s="30" t="n">
        <f aca="false">D13-E13</f>
        <v>46500</v>
      </c>
      <c r="G13" s="30" t="n">
        <f aca="false">SUMIFS('Change Log'!$M$5:$M$54,'Change Log'!$U$5:$U$54,"Pending")</f>
        <v>76000</v>
      </c>
      <c r="H13" s="30" t="n">
        <f aca="false">F13-G13</f>
        <v>-29500</v>
      </c>
    </row>
    <row r="14" customFormat="false" ht="15" hidden="false" customHeight="false" outlineLevel="0" collapsed="false">
      <c r="B14" s="31" t="s">
        <v>89</v>
      </c>
      <c r="C14" s="31"/>
      <c r="D14" s="31"/>
      <c r="E14" s="31"/>
      <c r="F14" s="31"/>
      <c r="G14" s="31"/>
      <c r="H14" s="31"/>
      <c r="I14" s="31"/>
    </row>
    <row r="16" customFormat="false" ht="19.5" hidden="false" customHeight="true" outlineLevel="0" collapsed="false">
      <c r="B16" s="7" t="s">
        <v>90</v>
      </c>
      <c r="C16" s="8"/>
      <c r="D16" s="8"/>
      <c r="E16" s="8"/>
      <c r="F16" s="8"/>
      <c r="G16" s="8"/>
      <c r="H16" s="8"/>
      <c r="I16" s="8"/>
    </row>
    <row r="17" customFormat="false" ht="15" hidden="false" customHeight="true" outlineLevel="0" collapsed="false">
      <c r="B17" s="10" t="s">
        <v>80</v>
      </c>
      <c r="C17" s="10"/>
      <c r="D17" s="10" t="s">
        <v>63</v>
      </c>
      <c r="E17" s="10" t="s">
        <v>91</v>
      </c>
      <c r="F17" s="10"/>
      <c r="G17" s="10"/>
      <c r="H17" s="10"/>
    </row>
    <row r="18" customFormat="false" ht="21.75" hidden="false" customHeight="true" outlineLevel="0" collapsed="false">
      <c r="B18" s="17" t="s">
        <v>92</v>
      </c>
      <c r="C18" s="17"/>
      <c r="D18" s="32" t="n">
        <v>46367</v>
      </c>
      <c r="E18" s="11" t="s">
        <v>93</v>
      </c>
      <c r="F18" s="11"/>
      <c r="G18" s="11"/>
      <c r="H18" s="11"/>
    </row>
    <row r="19" customFormat="false" ht="21.75" hidden="false" customHeight="true" outlineLevel="0" collapsed="false">
      <c r="B19" s="17" t="s">
        <v>94</v>
      </c>
      <c r="C19" s="17"/>
      <c r="D19" s="33" t="n">
        <f aca="false">WORKDAY(D18,MAX(0,E11-D11))</f>
        <v>46367</v>
      </c>
      <c r="E19" s="11" t="s">
        <v>95</v>
      </c>
      <c r="F19" s="11"/>
      <c r="G19" s="11"/>
      <c r="H19" s="11"/>
    </row>
    <row r="20" customFormat="false" ht="21.75" hidden="false" customHeight="true" outlineLevel="0" collapsed="false">
      <c r="B20" s="17" t="s">
        <v>96</v>
      </c>
      <c r="C20" s="17"/>
      <c r="D20" s="33" t="n">
        <f aca="false">WORKDAY(D18,MAX(0,E11+G11-D11))</f>
        <v>46392</v>
      </c>
      <c r="E20" s="11" t="s">
        <v>97</v>
      </c>
      <c r="F20" s="11"/>
      <c r="G20" s="11"/>
      <c r="H20" s="11"/>
    </row>
    <row r="22" customFormat="false" ht="19.5" hidden="false" customHeight="true" outlineLevel="0" collapsed="false">
      <c r="B22" s="7" t="s">
        <v>98</v>
      </c>
      <c r="C22" s="8"/>
      <c r="D22" s="8"/>
      <c r="E22" s="8"/>
      <c r="F22" s="8"/>
      <c r="G22" s="8"/>
      <c r="H22" s="8"/>
      <c r="I22" s="8"/>
    </row>
    <row r="23" customFormat="false" ht="30" hidden="false" customHeight="true" outlineLevel="0" collapsed="false">
      <c r="B23" s="10" t="s">
        <v>99</v>
      </c>
      <c r="C23" s="10" t="s">
        <v>100</v>
      </c>
      <c r="D23" s="10" t="s">
        <v>101</v>
      </c>
      <c r="E23" s="10" t="s">
        <v>36</v>
      </c>
      <c r="F23" s="10" t="s">
        <v>102</v>
      </c>
      <c r="G23" s="10" t="s">
        <v>103</v>
      </c>
      <c r="H23" s="10"/>
      <c r="I23" s="10" t="s">
        <v>104</v>
      </c>
    </row>
    <row r="24" customFormat="false" ht="43.5" hidden="false" customHeight="true" outlineLevel="0" collapsed="false">
      <c r="B24" s="16" t="str">
        <f aca="false">IFERROR(IF(INDEX('Change Log'!$A$5:$A$54,MATCH(SMALL('Change Log'!$AH$5:$AH$54,1),'Change Log'!$AH$5:$AH$54,0))="","",INDEX('Change Log'!$A$5:$A$54,MATCH(SMALL('Change Log'!$AH$5:$AH$54,1),'Change Log'!$AH$5:$AH$54,0))),"")</f>
        <v>CR-05</v>
      </c>
      <c r="C24" s="11" t="str">
        <f aca="false">IFERROR(IF(INDEX('Change Log'!$B$5:$B$54,MATCH(SMALL('Change Log'!$AH$5:$AH$54,1),'Change Log'!$AH$5:$AH$54,0))="","",INDEX('Change Log'!$B$5:$B$54,MATCH(SMALL('Change Log'!$AH$5:$AH$54,1),'Change Log'!$AH$5:$AH$54,0))),"")</f>
        <v>Change how dispute outcomes are reported</v>
      </c>
      <c r="D24" s="16" t="str">
        <f aca="false">IFERROR(IF(INDEX('Change Log'!$N$5:$N$54,MATCH(SMALL('Change Log'!$AH$5:$AH$54,1),'Change Log'!$AH$5:$AH$54,0))="","",INDEX('Change Log'!$N$5:$N$54,MATCH(SMALL('Change Log'!$AH$5:$AH$54,1),'Change Log'!$AH$5:$AH$54,0))),"")</f>
        <v>Medium</v>
      </c>
      <c r="E24" s="16" t="str">
        <f aca="false">IFERROR(IF(INDEX('Change Log'!$O$5:$O$54,MATCH(SMALL('Change Log'!$AH$5:$AH$54,1),'Change Log'!$AH$5:$AH$54,0))="","",INDEX('Change Log'!$O$5:$O$54,MATCH(SMALL('Change Log'!$AH$5:$AH$54,1),'Change Log'!$AH$5:$AH$54,0))),"")</f>
        <v>Business Sponsor</v>
      </c>
      <c r="F24" s="18" t="n">
        <f aca="false">IFERROR(IF(INDEX('Change Log'!$S$5:$S$54,MATCH(SMALL('Change Log'!$AH$5:$AH$54,1),'Change Log'!$AH$5:$AH$54,0))="","",INDEX('Change Log'!$S$5:$S$54,MATCH(SMALL('Change Log'!$AH$5:$AH$54,1),'Change Log'!$AH$5:$AH$54,0))),"")</f>
        <v>46283</v>
      </c>
      <c r="G24" s="11" t="str">
        <f aca="false">IFERROR(IF(INDEX('Change Log'!$Q$5:$Q$54,MATCH(SMALL('Change Log'!$AH$5:$AH$54,1),'Change Log'!$AH$5:$AH$54,0))="","",INDEX('Change Log'!$Q$5:$Q$54,MATCH(SMALL('Change Log'!$AH$5:$AH$54,1),'Change Log'!$AH$5:$AH$54,0))),"")</f>
        <v>Option C. Keeps both teams' views visible and avoids re-defining the KPI later.</v>
      </c>
      <c r="H24" s="11"/>
      <c r="I24" s="16" t="str">
        <f aca="false">IFERROR(IF(INDEX('Change Log'!$AF$5:$AF$54,MATCH(SMALL('Change Log'!$AH$5:$AH$54,1),'Change Log'!$AH$5:$AH$54,0))="","",INDEX('Change Log'!$AF$5:$AF$54,MATCH(SMALL('Change Log'!$AH$5:$AH$54,1),'Change Log'!$AH$5:$AH$54,0))),"")</f>
        <v>No</v>
      </c>
    </row>
    <row r="25" customFormat="false" ht="43.5" hidden="false" customHeight="true" outlineLevel="0" collapsed="false">
      <c r="B25" s="16" t="str">
        <f aca="false">IFERROR(IF(INDEX('Change Log'!$A$5:$A$54,MATCH(SMALL('Change Log'!$AH$5:$AH$54,2),'Change Log'!$AH$5:$AH$54,0))="","",INDEX('Change Log'!$A$5:$A$54,MATCH(SMALL('Change Log'!$AH$5:$AH$54,2),'Change Log'!$AH$5:$AH$54,0))),"")</f>
        <v>CR-01</v>
      </c>
      <c r="C25" s="11" t="str">
        <f aca="false">IFERROR(IF(INDEX('Change Log'!$B$5:$B$54,MATCH(SMALL('Change Log'!$AH$5:$AH$54,2),'Change Log'!$AH$5:$AH$54,0))="","",INDEX('Change Log'!$B$5:$B$54,MATCH(SMALL('Change Log'!$AH$5:$AH$54,2),'Change Log'!$AH$5:$AH$54,0))),"")</f>
        <v>Add fraud case management to Dispute Hub MVP</v>
      </c>
      <c r="D25" s="16" t="str">
        <f aca="false">IFERROR(IF(INDEX('Change Log'!$N$5:$N$54,MATCH(SMALL('Change Log'!$AH$5:$AH$54,2),'Change Log'!$AH$5:$AH$54,0))="","",INDEX('Change Log'!$N$5:$N$54,MATCH(SMALL('Change Log'!$AH$5:$AH$54,2),'Change Log'!$AH$5:$AH$54,0))),"")</f>
        <v>High</v>
      </c>
      <c r="E25" s="16" t="str">
        <f aca="false">IFERROR(IF(INDEX('Change Log'!$O$5:$O$54,MATCH(SMALL('Change Log'!$AH$5:$AH$54,2),'Change Log'!$AH$5:$AH$54,0))="","",INDEX('Change Log'!$O$5:$O$54,MATCH(SMALL('Change Log'!$AH$5:$AH$54,2),'Change Log'!$AH$5:$AH$54,0))),"")</f>
        <v>Steering Committee</v>
      </c>
      <c r="F25" s="18" t="n">
        <f aca="false">IFERROR(IF(INDEX('Change Log'!$S$5:$S$54,MATCH(SMALL('Change Log'!$AH$5:$AH$54,2),'Change Log'!$AH$5:$AH$54,0))="","",INDEX('Change Log'!$S$5:$S$54,MATCH(SMALL('Change Log'!$AH$5:$AH$54,2),'Change Log'!$AH$5:$AH$54,0))),"")</f>
        <v>46290</v>
      </c>
      <c r="G25" s="11" t="str">
        <f aca="false">IFERROR(IF(INDEX('Change Log'!$Q$5:$Q$54,MATCH(SMALL('Change Log'!$AH$5:$AH$54,2),'Change Log'!$AH$5:$AH$54,0))="","",INDEX('Change Log'!$Q$5:$Q$54,MATCH(SMALL('Change Log'!$AH$5:$AH$54,2),'Change Log'!$AH$5:$AH$54,0))),"")</f>
        <v>Option C. Meets the core need (agents can see a linked case) without moving go-live.</v>
      </c>
      <c r="H25" s="11"/>
      <c r="I25" s="16" t="str">
        <f aca="false">IFERROR(IF(INDEX('Change Log'!$AF$5:$AF$54,MATCH(SMALL('Change Log'!$AH$5:$AH$54,2),'Change Log'!$AH$5:$AH$54,0))="","",INDEX('Change Log'!$AF$5:$AF$54,MATCH(SMALL('Change Log'!$AH$5:$AH$54,2),'Change Log'!$AH$5:$AH$54,0))),"")</f>
        <v>No</v>
      </c>
    </row>
    <row r="26" customFormat="false" ht="43.5" hidden="false" customHeight="true" outlineLevel="0" collapsed="false">
      <c r="B26" s="16" t="str">
        <f aca="false">IFERROR(IF(INDEX('Change Log'!$A$5:$A$54,MATCH(SMALL('Change Log'!$AH$5:$AH$54,3),'Change Log'!$AH$5:$AH$54,0))="","",INDEX('Change Log'!$A$5:$A$54,MATCH(SMALL('Change Log'!$AH$5:$AH$54,3),'Change Log'!$AH$5:$AH$54,0))),"")</f>
        <v>CR-06</v>
      </c>
      <c r="C26" s="11" t="str">
        <f aca="false">IFERROR(IF(INDEX('Change Log'!$B$5:$B$54,MATCH(SMALL('Change Log'!$AH$5:$AH$54,3),'Change Log'!$AH$5:$AH$54,0))="","",INDEX('Change Log'!$B$5:$B$54,MATCH(SMALL('Change Log'!$AH$5:$AH$54,3),'Change Log'!$AH$5:$AH$54,0))),"")</f>
        <v>Run UAT in parallel with delayed penetration test</v>
      </c>
      <c r="D26" s="16" t="str">
        <f aca="false">IFERROR(IF(INDEX('Change Log'!$N$5:$N$54,MATCH(SMALL('Change Log'!$AH$5:$AH$54,3),'Change Log'!$AH$5:$AH$54,0))="","",INDEX('Change Log'!$N$5:$N$54,MATCH(SMALL('Change Log'!$AH$5:$AH$54,3),'Change Log'!$AH$5:$AH$54,0))),"")</f>
        <v>High</v>
      </c>
      <c r="E26" s="16" t="str">
        <f aca="false">IFERROR(IF(INDEX('Change Log'!$O$5:$O$54,MATCH(SMALL('Change Log'!$AH$5:$AH$54,3),'Change Log'!$AH$5:$AH$54,0))="","",INDEX('Change Log'!$O$5:$O$54,MATCH(SMALL('Change Log'!$AH$5:$AH$54,3),'Change Log'!$AH$5:$AH$54,0))),"")</f>
        <v>Steering Committee</v>
      </c>
      <c r="F26" s="18" t="n">
        <f aca="false">IFERROR(IF(INDEX('Change Log'!$S$5:$S$54,MATCH(SMALL('Change Log'!$AH$5:$AH$54,3),'Change Log'!$AH$5:$AH$54,0))="","",INDEX('Change Log'!$S$5:$S$54,MATCH(SMALL('Change Log'!$AH$5:$AH$54,3),'Change Log'!$AH$5:$AH$54,0))),"")</f>
        <v>46290</v>
      </c>
      <c r="G26" s="11" t="str">
        <f aca="false">IFERROR(IF(INDEX('Change Log'!$Q$5:$Q$54,MATCH(SMALL('Change Log'!$AH$5:$AH$54,3),'Change Log'!$AH$5:$AH$54,0))="","",INDEX('Change Log'!$Q$5:$Q$54,MATCH(SMALL('Change Log'!$AH$5:$AH$54,3),'Change Log'!$AH$5:$AH$54,0))),"")</f>
        <v>Option B, subject to Compliance agreeing security sign-off can follow UAT start.</v>
      </c>
      <c r="H26" s="11"/>
      <c r="I26" s="16" t="str">
        <f aca="false">IFERROR(IF(INDEX('Change Log'!$AF$5:$AF$54,MATCH(SMALL('Change Log'!$AH$5:$AH$54,3),'Change Log'!$AH$5:$AH$54,0))="","",INDEX('Change Log'!$AF$5:$AF$54,MATCH(SMALL('Change Log'!$AH$5:$AH$54,3),'Change Log'!$AH$5:$AH$54,0))),"")</f>
        <v>No</v>
      </c>
    </row>
    <row r="27" customFormat="false" ht="43.5" hidden="false" customHeight="true" outlineLevel="0" collapsed="false">
      <c r="B27" s="16" t="str">
        <f aca="false">IFERROR(IF(INDEX('Change Log'!$A$5:$A$54,MATCH(SMALL('Change Log'!$AH$5:$AH$54,4),'Change Log'!$AH$5:$AH$54,0))="","",INDEX('Change Log'!$A$5:$A$54,MATCH(SMALL('Change Log'!$AH$5:$AH$54,4),'Change Log'!$AH$5:$AH$54,0))),"")</f>
        <v>CR-09</v>
      </c>
      <c r="C27" s="11" t="str">
        <f aca="false">IFERROR(IF(INDEX('Change Log'!$B$5:$B$54,MATCH(SMALL('Change Log'!$AH$5:$AH$54,4),'Change Log'!$AH$5:$AH$54,0))="","",INDEX('Change Log'!$B$5:$B$54,MATCH(SMALL('Change Log'!$AH$5:$AH$54,4),'Change Log'!$AH$5:$AH$54,0))),"")</f>
        <v>Add SMS reminders for dispute deadlines</v>
      </c>
      <c r="D27" s="16" t="str">
        <f aca="false">IFERROR(IF(INDEX('Change Log'!$N$5:$N$54,MATCH(SMALL('Change Log'!$AH$5:$AH$54,4),'Change Log'!$AH$5:$AH$54,0))="","",INDEX('Change Log'!$N$5:$N$54,MATCH(SMALL('Change Log'!$AH$5:$AH$54,4),'Change Log'!$AH$5:$AH$54,0))),"")</f>
        <v>To assess</v>
      </c>
      <c r="E27" s="16" t="str">
        <f aca="false">IFERROR(IF(INDEX('Change Log'!$O$5:$O$54,MATCH(SMALL('Change Log'!$AH$5:$AH$54,4),'Change Log'!$AH$5:$AH$54,0))="","",INDEX('Change Log'!$O$5:$O$54,MATCH(SMALL('Change Log'!$AH$5:$AH$54,4),'Change Log'!$AH$5:$AH$54,0))),"")</f>
        <v>Product Owner</v>
      </c>
      <c r="F27" s="18" t="n">
        <f aca="false">IFERROR(IF(INDEX('Change Log'!$S$5:$S$54,MATCH(SMALL('Change Log'!$AH$5:$AH$54,4),'Change Log'!$AH$5:$AH$54,0))="","",INDEX('Change Log'!$S$5:$S$54,MATCH(SMALL('Change Log'!$AH$5:$AH$54,4),'Change Log'!$AH$5:$AH$54,0))),"")</f>
        <v>46297</v>
      </c>
      <c r="G27" s="11" t="str">
        <f aca="false">IFERROR(IF(INDEX('Change Log'!$Q$5:$Q$54,MATCH(SMALL('Change Log'!$AH$5:$AH$54,4),'Change Log'!$AH$5:$AH$54,0))="","",INDEX('Change Log'!$Q$5:$Q$54,MATCH(SMALL('Change Log'!$AH$5:$AH$54,4),'Change Log'!$AH$5:$AH$54,0))),"")</f>
        <v/>
      </c>
      <c r="H27" s="11"/>
      <c r="I27" s="16" t="str">
        <f aca="false">IFERROR(IF(INDEX('Change Log'!$AF$5:$AF$54,MATCH(SMALL('Change Log'!$AH$5:$AH$54,4),'Change Log'!$AH$5:$AH$54,0))="","",INDEX('Change Log'!$AF$5:$AF$54,MATCH(SMALL('Change Log'!$AH$5:$AH$54,4),'Change Log'!$AH$5:$AH$54,0))),"")</f>
        <v>No</v>
      </c>
    </row>
    <row r="28" customFormat="false" ht="43.5" hidden="false" customHeight="true" outlineLevel="0" collapsed="false">
      <c r="B28" s="16" t="str">
        <f aca="false">IFERROR(IF(INDEX('Change Log'!$A$5:$A$54,MATCH(SMALL('Change Log'!$AH$5:$AH$54,5),'Change Log'!$AH$5:$AH$54,0))="","",INDEX('Change Log'!$A$5:$A$54,MATCH(SMALL('Change Log'!$AH$5:$AH$54,5),'Change Log'!$AH$5:$AH$54,0))),"")</f>
        <v/>
      </c>
      <c r="C28" s="11" t="str">
        <f aca="false">IFERROR(IF(INDEX('Change Log'!$B$5:$B$54,MATCH(SMALL('Change Log'!$AH$5:$AH$54,5),'Change Log'!$AH$5:$AH$54,0))="","",INDEX('Change Log'!$B$5:$B$54,MATCH(SMALL('Change Log'!$AH$5:$AH$54,5),'Change Log'!$AH$5:$AH$54,0))),"")</f>
        <v/>
      </c>
      <c r="D28" s="16" t="str">
        <f aca="false">IFERROR(IF(INDEX('Change Log'!$N$5:$N$54,MATCH(SMALL('Change Log'!$AH$5:$AH$54,5),'Change Log'!$AH$5:$AH$54,0))="","",INDEX('Change Log'!$N$5:$N$54,MATCH(SMALL('Change Log'!$AH$5:$AH$54,5),'Change Log'!$AH$5:$AH$54,0))),"")</f>
        <v/>
      </c>
      <c r="E28" s="16" t="str">
        <f aca="false">IFERROR(IF(INDEX('Change Log'!$O$5:$O$54,MATCH(SMALL('Change Log'!$AH$5:$AH$54,5),'Change Log'!$AH$5:$AH$54,0))="","",INDEX('Change Log'!$O$5:$O$54,MATCH(SMALL('Change Log'!$AH$5:$AH$54,5),'Change Log'!$AH$5:$AH$54,0))),"")</f>
        <v/>
      </c>
      <c r="F28" s="18" t="str">
        <f aca="false">IFERROR(IF(INDEX('Change Log'!$S$5:$S$54,MATCH(SMALL('Change Log'!$AH$5:$AH$54,5),'Change Log'!$AH$5:$AH$54,0))="","",INDEX('Change Log'!$S$5:$S$54,MATCH(SMALL('Change Log'!$AH$5:$AH$54,5),'Change Log'!$AH$5:$AH$54,0))),"")</f>
        <v/>
      </c>
      <c r="G28" s="11" t="str">
        <f aca="false">IFERROR(IF(INDEX('Change Log'!$Q$5:$Q$54,MATCH(SMALL('Change Log'!$AH$5:$AH$54,5),'Change Log'!$AH$5:$AH$54,0))="","",INDEX('Change Log'!$Q$5:$Q$54,MATCH(SMALL('Change Log'!$AH$5:$AH$54,5),'Change Log'!$AH$5:$AH$54,0))),"")</f>
        <v/>
      </c>
      <c r="H28" s="11"/>
      <c r="I28" s="16" t="str">
        <f aca="false">IFERROR(IF(INDEX('Change Log'!$AF$5:$AF$54,MATCH(SMALL('Change Log'!$AH$5:$AH$54,5),'Change Log'!$AH$5:$AH$54,0))="","",INDEX('Change Log'!$AF$5:$AF$54,MATCH(SMALL('Change Log'!$AH$5:$AH$54,5),'Change Log'!$AH$5:$AH$54,0))),"")</f>
        <v/>
      </c>
    </row>
    <row r="29" customFormat="false" ht="43.5" hidden="false" customHeight="true" outlineLevel="0" collapsed="false">
      <c r="B29" s="16" t="str">
        <f aca="false">IFERROR(IF(INDEX('Change Log'!$A$5:$A$54,MATCH(SMALL('Change Log'!$AH$5:$AH$54,6),'Change Log'!$AH$5:$AH$54,0))="","",INDEX('Change Log'!$A$5:$A$54,MATCH(SMALL('Change Log'!$AH$5:$AH$54,6),'Change Log'!$AH$5:$AH$54,0))),"")</f>
        <v/>
      </c>
      <c r="C29" s="11" t="str">
        <f aca="false">IFERROR(IF(INDEX('Change Log'!$B$5:$B$54,MATCH(SMALL('Change Log'!$AH$5:$AH$54,6),'Change Log'!$AH$5:$AH$54,0))="","",INDEX('Change Log'!$B$5:$B$54,MATCH(SMALL('Change Log'!$AH$5:$AH$54,6),'Change Log'!$AH$5:$AH$54,0))),"")</f>
        <v/>
      </c>
      <c r="D29" s="16" t="str">
        <f aca="false">IFERROR(IF(INDEX('Change Log'!$N$5:$N$54,MATCH(SMALL('Change Log'!$AH$5:$AH$54,6),'Change Log'!$AH$5:$AH$54,0))="","",INDEX('Change Log'!$N$5:$N$54,MATCH(SMALL('Change Log'!$AH$5:$AH$54,6),'Change Log'!$AH$5:$AH$54,0))),"")</f>
        <v/>
      </c>
      <c r="E29" s="16" t="str">
        <f aca="false">IFERROR(IF(INDEX('Change Log'!$O$5:$O$54,MATCH(SMALL('Change Log'!$AH$5:$AH$54,6),'Change Log'!$AH$5:$AH$54,0))="","",INDEX('Change Log'!$O$5:$O$54,MATCH(SMALL('Change Log'!$AH$5:$AH$54,6),'Change Log'!$AH$5:$AH$54,0))),"")</f>
        <v/>
      </c>
      <c r="F29" s="18" t="str">
        <f aca="false">IFERROR(IF(INDEX('Change Log'!$S$5:$S$54,MATCH(SMALL('Change Log'!$AH$5:$AH$54,6),'Change Log'!$AH$5:$AH$54,0))="","",INDEX('Change Log'!$S$5:$S$54,MATCH(SMALL('Change Log'!$AH$5:$AH$54,6),'Change Log'!$AH$5:$AH$54,0))),"")</f>
        <v/>
      </c>
      <c r="G29" s="11" t="str">
        <f aca="false">IFERROR(IF(INDEX('Change Log'!$Q$5:$Q$54,MATCH(SMALL('Change Log'!$AH$5:$AH$54,6),'Change Log'!$AH$5:$AH$54,0))="","",INDEX('Change Log'!$Q$5:$Q$54,MATCH(SMALL('Change Log'!$AH$5:$AH$54,6),'Change Log'!$AH$5:$AH$54,0))),"")</f>
        <v/>
      </c>
      <c r="H29" s="11"/>
      <c r="I29" s="16" t="str">
        <f aca="false">IFERROR(IF(INDEX('Change Log'!$AF$5:$AF$54,MATCH(SMALL('Change Log'!$AH$5:$AH$54,6),'Change Log'!$AH$5:$AH$54,0))="","",INDEX('Change Log'!$AF$5:$AF$54,MATCH(SMALL('Change Log'!$AH$5:$AH$54,6),'Change Log'!$AH$5:$AH$54,0))),"")</f>
        <v/>
      </c>
    </row>
    <row r="31" customFormat="false" ht="19.5" hidden="false" customHeight="true" outlineLevel="0" collapsed="false">
      <c r="B31" s="7" t="s">
        <v>105</v>
      </c>
      <c r="C31" s="8"/>
      <c r="D31" s="8"/>
      <c r="E31" s="8"/>
      <c r="F31" s="8"/>
      <c r="G31" s="8"/>
      <c r="H31" s="8"/>
      <c r="I31" s="8"/>
    </row>
    <row r="32" customFormat="false" ht="30" hidden="false" customHeight="true" outlineLevel="0" collapsed="false">
      <c r="B32" s="10" t="s">
        <v>106</v>
      </c>
      <c r="C32" s="10"/>
      <c r="D32" s="10" t="s">
        <v>107</v>
      </c>
      <c r="E32" s="10" t="s">
        <v>108</v>
      </c>
      <c r="F32" s="10" t="s">
        <v>109</v>
      </c>
      <c r="G32" s="10" t="s">
        <v>110</v>
      </c>
      <c r="H32" s="10" t="s">
        <v>111</v>
      </c>
    </row>
    <row r="33" customFormat="false" ht="15" hidden="false" customHeight="true" outlineLevel="0" collapsed="false">
      <c r="B33" s="17" t="s">
        <v>112</v>
      </c>
      <c r="C33" s="17"/>
      <c r="D33" s="16" t="n">
        <f aca="false">COUNTIFS('Change Log'!$G$5:$G$54,"Scope")</f>
        <v>4</v>
      </c>
      <c r="E33" s="16" t="n">
        <f aca="false">COUNTIFS('Change Log'!$G$5:$G$54,"Scope",'Change Log'!$U$5:$U$54,"Pending")</f>
        <v>2</v>
      </c>
      <c r="F33" s="16" t="n">
        <f aca="false">COUNTIFS('Change Log'!$G$5:$G$54,"Scope",'Change Log'!$U$5:$U$54,"Approved")+COUNTIFS('Change Log'!$G$5:$G$54,"Scope",'Change Log'!$U$5:$U$54,"Approved with Conditions")</f>
        <v>0</v>
      </c>
      <c r="G33" s="16" t="n">
        <f aca="false">COUNTIFS('Change Log'!$G$5:$G$54,"Scope",'Change Log'!$U$5:$U$54,"Rejected")+COUNTIFS('Change Log'!$G$5:$G$54,"Scope",'Change Log'!$U$5:$U$54,"Deferred")</f>
        <v>2</v>
      </c>
      <c r="H33" s="34" t="n">
        <f aca="false">SUMIFS('Change Log'!$Y$5:$Y$54,'Change Log'!$G$5:$G$54,"Scope",'Change Log'!$U$5:$U$54,"Approved")+SUMIFS('Change Log'!$Y$5:$Y$54,'Change Log'!$G$5:$G$54,"Scope",'Change Log'!$U$5:$U$54,"Approved with Conditions")</f>
        <v>0</v>
      </c>
    </row>
    <row r="34" customFormat="false" ht="15" hidden="false" customHeight="true" outlineLevel="0" collapsed="false">
      <c r="B34" s="17" t="s">
        <v>113</v>
      </c>
      <c r="C34" s="17"/>
      <c r="D34" s="16" t="n">
        <f aca="false">COUNTIFS('Change Log'!$G$5:$G$54,"Schedule")</f>
        <v>1</v>
      </c>
      <c r="E34" s="16" t="n">
        <f aca="false">COUNTIFS('Change Log'!$G$5:$G$54,"Schedule",'Change Log'!$U$5:$U$54,"Pending")</f>
        <v>1</v>
      </c>
      <c r="F34" s="16" t="n">
        <f aca="false">COUNTIFS('Change Log'!$G$5:$G$54,"Schedule",'Change Log'!$U$5:$U$54,"Approved")+COUNTIFS('Change Log'!$G$5:$G$54,"Schedule",'Change Log'!$U$5:$U$54,"Approved with Conditions")</f>
        <v>0</v>
      </c>
      <c r="G34" s="16" t="n">
        <f aca="false">COUNTIFS('Change Log'!$G$5:$G$54,"Schedule",'Change Log'!$U$5:$U$54,"Rejected")+COUNTIFS('Change Log'!$G$5:$G$54,"Schedule",'Change Log'!$U$5:$U$54,"Deferred")</f>
        <v>0</v>
      </c>
      <c r="H34" s="34" t="n">
        <f aca="false">SUMIFS('Change Log'!$Y$5:$Y$54,'Change Log'!$G$5:$G$54,"Schedule",'Change Log'!$U$5:$U$54,"Approved")+SUMIFS('Change Log'!$Y$5:$Y$54,'Change Log'!$G$5:$G$54,"Schedule",'Change Log'!$U$5:$U$54,"Approved with Conditions")</f>
        <v>0</v>
      </c>
    </row>
    <row r="35" customFormat="false" ht="15" hidden="false" customHeight="true" outlineLevel="0" collapsed="false">
      <c r="B35" s="17" t="s">
        <v>114</v>
      </c>
      <c r="C35" s="17"/>
      <c r="D35" s="16" t="n">
        <f aca="false">COUNTIFS('Change Log'!$G$5:$G$54,"Cost / Effort")</f>
        <v>0</v>
      </c>
      <c r="E35" s="16" t="n">
        <f aca="false">COUNTIFS('Change Log'!$G$5:$G$54,"Cost / Effort",'Change Log'!$U$5:$U$54,"Pending")</f>
        <v>0</v>
      </c>
      <c r="F35" s="16" t="n">
        <f aca="false">COUNTIFS('Change Log'!$G$5:$G$54,"Cost / Effort",'Change Log'!$U$5:$U$54,"Approved")+COUNTIFS('Change Log'!$G$5:$G$54,"Cost / Effort",'Change Log'!$U$5:$U$54,"Approved with Conditions")</f>
        <v>0</v>
      </c>
      <c r="G35" s="16" t="n">
        <f aca="false">COUNTIFS('Change Log'!$G$5:$G$54,"Cost / Effort",'Change Log'!$U$5:$U$54,"Rejected")+COUNTIFS('Change Log'!$G$5:$G$54,"Cost / Effort",'Change Log'!$U$5:$U$54,"Deferred")</f>
        <v>0</v>
      </c>
      <c r="H35" s="34" t="n">
        <f aca="false">SUMIFS('Change Log'!$Y$5:$Y$54,'Change Log'!$G$5:$G$54,"Cost / Effort",'Change Log'!$U$5:$U$54,"Approved")+SUMIFS('Change Log'!$Y$5:$Y$54,'Change Log'!$G$5:$G$54,"Cost / Effort",'Change Log'!$U$5:$U$54,"Approved with Conditions")</f>
        <v>0</v>
      </c>
    </row>
    <row r="36" customFormat="false" ht="15" hidden="false" customHeight="true" outlineLevel="0" collapsed="false">
      <c r="B36" s="17" t="s">
        <v>115</v>
      </c>
      <c r="C36" s="17"/>
      <c r="D36" s="16" t="n">
        <f aca="false">COUNTIFS('Change Log'!$G$5:$G$54,"Requirements")</f>
        <v>2</v>
      </c>
      <c r="E36" s="16" t="n">
        <f aca="false">COUNTIFS('Change Log'!$G$5:$G$54,"Requirements",'Change Log'!$U$5:$U$54,"Pending")</f>
        <v>1</v>
      </c>
      <c r="F36" s="16" t="n">
        <f aca="false">COUNTIFS('Change Log'!$G$5:$G$54,"Requirements",'Change Log'!$U$5:$U$54,"Approved")+COUNTIFS('Change Log'!$G$5:$G$54,"Requirements",'Change Log'!$U$5:$U$54,"Approved with Conditions")</f>
        <v>1</v>
      </c>
      <c r="G36" s="16" t="n">
        <f aca="false">COUNTIFS('Change Log'!$G$5:$G$54,"Requirements",'Change Log'!$U$5:$U$54,"Rejected")+COUNTIFS('Change Log'!$G$5:$G$54,"Requirements",'Change Log'!$U$5:$U$54,"Deferred")</f>
        <v>0</v>
      </c>
      <c r="H36" s="34" t="n">
        <f aca="false">SUMIFS('Change Log'!$Y$5:$Y$54,'Change Log'!$G$5:$G$54,"Requirements",'Change Log'!$U$5:$U$54,"Approved")+SUMIFS('Change Log'!$Y$5:$Y$54,'Change Log'!$G$5:$G$54,"Requirements",'Change Log'!$U$5:$U$54,"Approved with Conditions")</f>
        <v>0</v>
      </c>
    </row>
    <row r="37" customFormat="false" ht="15" hidden="false" customHeight="true" outlineLevel="0" collapsed="false">
      <c r="B37" s="17" t="s">
        <v>116</v>
      </c>
      <c r="C37" s="17"/>
      <c r="D37" s="16" t="n">
        <f aca="false">COUNTIFS('Change Log'!$G$5:$G$54,"Technical")</f>
        <v>1</v>
      </c>
      <c r="E37" s="16" t="n">
        <f aca="false">COUNTIFS('Change Log'!$G$5:$G$54,"Technical",'Change Log'!$U$5:$U$54,"Pending")</f>
        <v>0</v>
      </c>
      <c r="F37" s="16" t="n">
        <f aca="false">COUNTIFS('Change Log'!$G$5:$G$54,"Technical",'Change Log'!$U$5:$U$54,"Approved")+COUNTIFS('Change Log'!$G$5:$G$54,"Technical",'Change Log'!$U$5:$U$54,"Approved with Conditions")</f>
        <v>1</v>
      </c>
      <c r="G37" s="16" t="n">
        <f aca="false">COUNTIFS('Change Log'!$G$5:$G$54,"Technical",'Change Log'!$U$5:$U$54,"Rejected")+COUNTIFS('Change Log'!$G$5:$G$54,"Technical",'Change Log'!$U$5:$U$54,"Deferred")</f>
        <v>0</v>
      </c>
      <c r="H37" s="34" t="n">
        <f aca="false">SUMIFS('Change Log'!$Y$5:$Y$54,'Change Log'!$G$5:$G$54,"Technical",'Change Log'!$U$5:$U$54,"Approved")+SUMIFS('Change Log'!$Y$5:$Y$54,'Change Log'!$G$5:$G$54,"Technical",'Change Log'!$U$5:$U$54,"Approved with Conditions")</f>
        <v>4</v>
      </c>
    </row>
    <row r="38" customFormat="false" ht="15" hidden="false" customHeight="true" outlineLevel="0" collapsed="false">
      <c r="B38" s="17" t="s">
        <v>117</v>
      </c>
      <c r="C38" s="17"/>
      <c r="D38" s="16" t="n">
        <f aca="false">COUNTIFS('Change Log'!$G$5:$G$54,"Compliance")</f>
        <v>1</v>
      </c>
      <c r="E38" s="16" t="n">
        <f aca="false">COUNTIFS('Change Log'!$G$5:$G$54,"Compliance",'Change Log'!$U$5:$U$54,"Pending")</f>
        <v>0</v>
      </c>
      <c r="F38" s="16" t="n">
        <f aca="false">COUNTIFS('Change Log'!$G$5:$G$54,"Compliance",'Change Log'!$U$5:$U$54,"Approved")+COUNTIFS('Change Log'!$G$5:$G$54,"Compliance",'Change Log'!$U$5:$U$54,"Approved with Conditions")</f>
        <v>1</v>
      </c>
      <c r="G38" s="16" t="n">
        <f aca="false">COUNTIFS('Change Log'!$G$5:$G$54,"Compliance",'Change Log'!$U$5:$U$54,"Rejected")+COUNTIFS('Change Log'!$G$5:$G$54,"Compliance",'Change Log'!$U$5:$U$54,"Deferred")</f>
        <v>0</v>
      </c>
      <c r="H38" s="34" t="n">
        <f aca="false">SUMIFS('Change Log'!$Y$5:$Y$54,'Change Log'!$G$5:$G$54,"Compliance",'Change Log'!$U$5:$U$54,"Approved")+SUMIFS('Change Log'!$Y$5:$Y$54,'Change Log'!$G$5:$G$54,"Compliance",'Change Log'!$U$5:$U$54,"Approved with Conditions")</f>
        <v>5</v>
      </c>
    </row>
    <row r="39" customFormat="false" ht="15" hidden="false" customHeight="true" outlineLevel="0" collapsed="false">
      <c r="B39" s="17" t="s">
        <v>107</v>
      </c>
      <c r="C39" s="17"/>
      <c r="D39" s="35" t="n">
        <f aca="false">SUM(D33:D38)</f>
        <v>9</v>
      </c>
      <c r="E39" s="35" t="n">
        <f aca="false">SUM(E33:E38)</f>
        <v>4</v>
      </c>
      <c r="F39" s="35" t="n">
        <f aca="false">SUM(F33:F38)</f>
        <v>3</v>
      </c>
      <c r="G39" s="35" t="n">
        <f aca="false">SUM(G33:G38)</f>
        <v>2</v>
      </c>
      <c r="H39" s="35" t="n">
        <f aca="false">SUM(H33:H38)</f>
        <v>9</v>
      </c>
    </row>
  </sheetData>
  <mergeCells count="28">
    <mergeCell ref="B10:C10"/>
    <mergeCell ref="B11:C11"/>
    <mergeCell ref="B12:C12"/>
    <mergeCell ref="B13:C13"/>
    <mergeCell ref="B14:I14"/>
    <mergeCell ref="B17:C17"/>
    <mergeCell ref="E17:H17"/>
    <mergeCell ref="B18:C18"/>
    <mergeCell ref="E18:H18"/>
    <mergeCell ref="B19:C19"/>
    <mergeCell ref="E19:H19"/>
    <mergeCell ref="B20:C20"/>
    <mergeCell ref="E20:H20"/>
    <mergeCell ref="G23:H23"/>
    <mergeCell ref="G24:H24"/>
    <mergeCell ref="G25:H25"/>
    <mergeCell ref="G26:H26"/>
    <mergeCell ref="G27:H27"/>
    <mergeCell ref="G28:H28"/>
    <mergeCell ref="G29:H29"/>
    <mergeCell ref="B32:C32"/>
    <mergeCell ref="B33:C33"/>
    <mergeCell ref="B34:C34"/>
    <mergeCell ref="B35:C35"/>
    <mergeCell ref="B36:C36"/>
    <mergeCell ref="B37:C37"/>
    <mergeCell ref="B38:C38"/>
    <mergeCell ref="B39:C39"/>
  </mergeCells>
  <conditionalFormatting sqref="F11:F13">
    <cfRule type="cellIs" priority="2" operator="lessThan" aboveAverage="0" equalAverage="0" bottom="0" percent="0" rank="0" text="" dxfId="0">
      <formula>0</formula>
    </cfRule>
  </conditionalFormatting>
  <conditionalFormatting sqref="H11:H13">
    <cfRule type="cellIs" priority="3" operator="lessThan" aboveAverage="0" equalAverage="0" bottom="0" percent="0" rank="0" text="" dxfId="0">
      <formula>0</formula>
    </cfRule>
  </conditionalFormatting>
  <conditionalFormatting sqref="D19:D20">
    <cfRule type="cellIs" priority="4" operator="greaterThan" aboveAverage="0" equalAverage="0" bottom="0" percent="0" rank="0" text="" dxfId="0">
      <formula>$D$18</formula>
    </cfRule>
  </conditionalFormatting>
  <conditionalFormatting sqref="D24:D29">
    <cfRule type="cellIs" priority="5" operator="equal" aboveAverage="0" equalAverage="0" bottom="0" percent="0" rank="0" text="" dxfId="0">
      <formula>"High"</formula>
    </cfRule>
    <cfRule type="cellIs" priority="6" operator="equal" aboveAverage="0" equalAverage="0" bottom="0" percent="0" rank="0" text="" dxfId="1">
      <formula>"Medium"</formula>
    </cfRule>
    <cfRule type="cellIs" priority="7" operator="equal" aboveAverage="0" equalAverage="0" bottom="0" percent="0" rank="0" text="" dxfId="2">
      <formula>"Low"</formula>
    </cfRule>
    <cfRule type="cellIs" priority="8" operator="equal" aboveAverage="0" equalAverage="0" bottom="0" percent="0" rank="0" text="" dxfId="3">
      <formula>"To assess"</formula>
    </cfRule>
  </conditionalFormatting>
  <conditionalFormatting sqref="I24:I29">
    <cfRule type="cellIs" priority="9" operator="equal" aboveAverage="0" equalAverage="0" bottom="0" percent="0" rank="0" text="" dxfId="0">
      <formula>"Overdue"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38"/>
    <col collapsed="false" customWidth="true" hidden="false" outlineLevel="0" max="4" min="4" style="0" width="17"/>
    <col collapsed="false" customWidth="true" hidden="false" outlineLevel="0" max="5" min="5" style="0" width="12"/>
    <col collapsed="false" customWidth="true" hidden="false" outlineLevel="0" max="6" min="6" style="0" width="15"/>
    <col collapsed="false" customWidth="true" hidden="false" outlineLevel="0" max="7" min="7" style="0" width="13"/>
    <col collapsed="false" customWidth="true" hidden="false" outlineLevel="0" max="8" min="8" style="0" width="20"/>
    <col collapsed="false" customWidth="true" hidden="false" outlineLevel="0" max="9" min="9" style="0" width="10"/>
    <col collapsed="false" customWidth="true" hidden="false" outlineLevel="0" max="10" min="10" style="0" width="40"/>
    <col collapsed="false" customWidth="true" hidden="false" outlineLevel="0" max="12" min="11" style="0" width="11"/>
    <col collapsed="false" customWidth="true" hidden="false" outlineLevel="0" max="13" min="13" style="0" width="12"/>
    <col collapsed="false" customWidth="true" hidden="false" outlineLevel="0" max="14" min="14" style="0" width="10"/>
    <col collapsed="false" customWidth="true" hidden="false" outlineLevel="0" max="15" min="15" style="0" width="16"/>
    <col collapsed="false" customWidth="true" hidden="false" outlineLevel="0" max="16" min="16" style="0" width="46"/>
    <col collapsed="false" customWidth="true" hidden="false" outlineLevel="0" max="17" min="17" style="0" width="30"/>
    <col collapsed="false" customWidth="true" hidden="false" outlineLevel="0" max="18" min="18" style="0" width="16"/>
    <col collapsed="false" customWidth="true" hidden="false" outlineLevel="0" max="19" min="19" style="0" width="12"/>
    <col collapsed="false" customWidth="true" hidden="false" outlineLevel="0" max="21" min="20" style="0" width="15"/>
    <col collapsed="false" customWidth="true" hidden="false" outlineLevel="0" max="22" min="22" style="0" width="16"/>
    <col collapsed="false" customWidth="true" hidden="false" outlineLevel="0" max="23" min="23" style="0" width="12"/>
    <col collapsed="false" customWidth="true" hidden="false" outlineLevel="0" max="24" min="24" style="0" width="40"/>
    <col collapsed="false" customWidth="true" hidden="false" outlineLevel="0" max="25" min="25" style="0" width="11"/>
    <col collapsed="false" customWidth="true" hidden="false" outlineLevel="0" max="26" min="26" style="0" width="10"/>
    <col collapsed="false" customWidth="true" hidden="false" outlineLevel="0" max="27" min="27" style="0" width="12"/>
    <col collapsed="false" customWidth="true" hidden="false" outlineLevel="0" max="28" min="28" style="0" width="13"/>
    <col collapsed="false" customWidth="true" hidden="false" outlineLevel="0" max="29" min="29" style="0" width="26"/>
    <col collapsed="false" customWidth="true" hidden="false" outlineLevel="0" max="30" min="30" style="0" width="13"/>
    <col collapsed="false" customWidth="true" hidden="false" outlineLevel="0" max="32" min="31" style="0" width="10"/>
    <col collapsed="false" customWidth="true" hidden="false" outlineLevel="0" max="33" min="33" style="0" width="12"/>
    <col collapsed="false" customWidth="true" hidden="true" outlineLevel="0" max="34" min="34" style="0" width="8"/>
  </cols>
  <sheetData>
    <row r="1" customFormat="false" ht="19.7" hidden="false" customHeight="false" outlineLevel="0" collapsed="false">
      <c r="A1" s="36" t="s">
        <v>118</v>
      </c>
    </row>
    <row r="2" customFormat="false" ht="15" hidden="false" customHeight="false" outlineLevel="0" collapsed="false">
      <c r="A2" s="20" t="s">
        <v>119</v>
      </c>
    </row>
    <row r="3" customFormat="false" ht="15" hidden="false" customHeight="false" outlineLevel="0" collapsed="false">
      <c r="A3" s="37" t="s">
        <v>120</v>
      </c>
    </row>
    <row r="4" customFormat="false" ht="43.5" hidden="false" customHeight="true" outlineLevel="0" collapsed="false">
      <c r="A4" s="38" t="s">
        <v>99</v>
      </c>
      <c r="B4" s="38" t="s">
        <v>100</v>
      </c>
      <c r="C4" s="38" t="s">
        <v>121</v>
      </c>
      <c r="D4" s="38" t="s">
        <v>122</v>
      </c>
      <c r="E4" s="38" t="s">
        <v>123</v>
      </c>
      <c r="F4" s="38" t="s">
        <v>124</v>
      </c>
      <c r="G4" s="38" t="s">
        <v>125</v>
      </c>
      <c r="H4" s="38" t="s">
        <v>126</v>
      </c>
      <c r="I4" s="38" t="s">
        <v>127</v>
      </c>
      <c r="J4" s="38" t="s">
        <v>128</v>
      </c>
      <c r="K4" s="38" t="s">
        <v>129</v>
      </c>
      <c r="L4" s="38" t="s">
        <v>130</v>
      </c>
      <c r="M4" s="38" t="s">
        <v>131</v>
      </c>
      <c r="N4" s="39" t="s">
        <v>132</v>
      </c>
      <c r="O4" s="39" t="s">
        <v>133</v>
      </c>
      <c r="P4" s="38" t="s">
        <v>134</v>
      </c>
      <c r="Q4" s="38" t="s">
        <v>103</v>
      </c>
      <c r="R4" s="38" t="s">
        <v>135</v>
      </c>
      <c r="S4" s="38" t="s">
        <v>136</v>
      </c>
      <c r="T4" s="38" t="s">
        <v>48</v>
      </c>
      <c r="U4" s="38" t="s">
        <v>50</v>
      </c>
      <c r="V4" s="38" t="s">
        <v>137</v>
      </c>
      <c r="W4" s="38" t="s">
        <v>138</v>
      </c>
      <c r="X4" s="38" t="s">
        <v>139</v>
      </c>
      <c r="Y4" s="38" t="s">
        <v>140</v>
      </c>
      <c r="Z4" s="38" t="s">
        <v>141</v>
      </c>
      <c r="AA4" s="38" t="s">
        <v>142</v>
      </c>
      <c r="AB4" s="38" t="s">
        <v>143</v>
      </c>
      <c r="AC4" s="38" t="s">
        <v>144</v>
      </c>
      <c r="AD4" s="38" t="s">
        <v>145</v>
      </c>
      <c r="AE4" s="39" t="s">
        <v>146</v>
      </c>
      <c r="AF4" s="39" t="s">
        <v>147</v>
      </c>
      <c r="AG4" s="38" t="s">
        <v>148</v>
      </c>
      <c r="AH4" s="39" t="s">
        <v>149</v>
      </c>
    </row>
    <row r="5" customFormat="false" ht="87" hidden="false" customHeight="true" outlineLevel="0" collapsed="false">
      <c r="A5" s="16" t="s">
        <v>150</v>
      </c>
      <c r="B5" s="11" t="s">
        <v>151</v>
      </c>
      <c r="C5" s="11" t="s">
        <v>152</v>
      </c>
      <c r="D5" s="11" t="s">
        <v>153</v>
      </c>
      <c r="E5" s="18" t="n">
        <v>46268</v>
      </c>
      <c r="F5" s="11" t="s">
        <v>154</v>
      </c>
      <c r="G5" s="11" t="s">
        <v>112</v>
      </c>
      <c r="H5" s="11" t="s">
        <v>155</v>
      </c>
      <c r="I5" s="16" t="s">
        <v>37</v>
      </c>
      <c r="J5" s="11" t="s">
        <v>156</v>
      </c>
      <c r="K5" s="34" t="n">
        <v>10</v>
      </c>
      <c r="L5" s="34" t="n">
        <v>55</v>
      </c>
      <c r="M5" s="40" t="n">
        <v>60000</v>
      </c>
      <c r="N5" s="41" t="str">
        <f aca="false">IF(A5="","",IF(G5="Compliance","High",IF(AND(K5="",L5="",M5=""),"To assess",IF(OR(N(K5)&gt;=Cover!$C$27,N(L5)&gt;=Cover!$D$27,N(M5)&gt;=Cover!$E$27),"High",IF(OR(N(K5)&gt;=Cover!$C$28,N(L5)&gt;=Cover!$D$28,N(M5)&gt;=Cover!$E$28),"Medium","Low")))))</f>
        <v>High</v>
      </c>
      <c r="O5" s="41" t="str">
        <f aca="false">IF(N5="","",IF(N5="High",Cover!$F$27,IF(N5="Medium",Cover!$F$28,Cover!$F$29)))</f>
        <v>Steering Committee</v>
      </c>
      <c r="P5" s="11" t="s">
        <v>157</v>
      </c>
      <c r="Q5" s="11" t="s">
        <v>158</v>
      </c>
      <c r="R5" s="11" t="s">
        <v>159</v>
      </c>
      <c r="S5" s="18" t="n">
        <v>46290</v>
      </c>
      <c r="T5" s="16" t="s">
        <v>160</v>
      </c>
      <c r="U5" s="16" t="s">
        <v>108</v>
      </c>
      <c r="V5" s="11"/>
      <c r="W5" s="18"/>
      <c r="X5" s="11"/>
      <c r="Y5" s="34"/>
      <c r="Z5" s="34"/>
      <c r="AA5" s="40"/>
      <c r="AB5" s="16" t="s">
        <v>161</v>
      </c>
      <c r="AC5" s="11"/>
      <c r="AD5" s="16" t="s">
        <v>162</v>
      </c>
      <c r="AE5" s="41" t="n">
        <f aca="true">IF(OR(A5="",E5=""),"",IF(W5&lt;&gt;"",W5-E5,TODAY()-E5))</f>
        <v>7</v>
      </c>
      <c r="AF5" s="41" t="str">
        <f aca="true">IF(AND(U5="Pending",S5&lt;&gt;""),IF(TODAY()&gt;S5,"Overdue","No"),"")</f>
        <v>No</v>
      </c>
      <c r="AG5" s="18" t="n">
        <v>46275</v>
      </c>
      <c r="AH5" s="42" t="n">
        <f aca="false">IF(AND(A5&lt;&gt;"",U5="Pending"),IF(S5="",99999,S5)+ROW()/100000,"")</f>
        <v>46290.00005</v>
      </c>
    </row>
    <row r="6" customFormat="false" ht="60" hidden="false" customHeight="true" outlineLevel="0" collapsed="false">
      <c r="A6" s="16" t="s">
        <v>163</v>
      </c>
      <c r="B6" s="11" t="s">
        <v>164</v>
      </c>
      <c r="C6" s="11" t="s">
        <v>165</v>
      </c>
      <c r="D6" s="11" t="s">
        <v>43</v>
      </c>
      <c r="E6" s="18" t="n">
        <v>46254</v>
      </c>
      <c r="F6" s="11" t="s">
        <v>166</v>
      </c>
      <c r="G6" s="11" t="s">
        <v>116</v>
      </c>
      <c r="H6" s="11" t="s">
        <v>167</v>
      </c>
      <c r="I6" s="16" t="s">
        <v>37</v>
      </c>
      <c r="J6" s="11" t="s">
        <v>168</v>
      </c>
      <c r="K6" s="34" t="n">
        <v>4</v>
      </c>
      <c r="L6" s="34" t="n">
        <v>13</v>
      </c>
      <c r="M6" s="40" t="n">
        <v>9000</v>
      </c>
      <c r="N6" s="41" t="str">
        <f aca="false">IF(A6="","",IF(G6="Compliance","High",IF(AND(K6="",L6="",M6=""),"To assess",IF(OR(N(K6)&gt;=Cover!$C$27,N(L6)&gt;=Cover!$D$27,N(M6)&gt;=Cover!$E$27),"High",IF(OR(N(K6)&gt;=Cover!$C$28,N(L6)&gt;=Cover!$D$28,N(M6)&gt;=Cover!$E$28),"Medium","Low")))))</f>
        <v>Medium</v>
      </c>
      <c r="O6" s="41" t="str">
        <f aca="false">IF(N6="","",IF(N6="High",Cover!$F$27,IF(N6="Medium",Cover!$F$28,Cover!$F$29)))</f>
        <v>Business Sponsor</v>
      </c>
      <c r="P6" s="11" t="s">
        <v>169</v>
      </c>
      <c r="Q6" s="11" t="s">
        <v>170</v>
      </c>
      <c r="R6" s="11" t="s">
        <v>171</v>
      </c>
      <c r="S6" s="18" t="n">
        <v>46263</v>
      </c>
      <c r="T6" s="16" t="s">
        <v>172</v>
      </c>
      <c r="U6" s="16" t="s">
        <v>109</v>
      </c>
      <c r="V6" s="11" t="s">
        <v>40</v>
      </c>
      <c r="W6" s="18" t="n">
        <v>46261</v>
      </c>
      <c r="X6" s="11" t="s">
        <v>173</v>
      </c>
      <c r="Y6" s="34" t="n">
        <v>4</v>
      </c>
      <c r="Z6" s="34" t="n">
        <v>13</v>
      </c>
      <c r="AA6" s="40" t="n">
        <v>9000</v>
      </c>
      <c r="AB6" s="16" t="s">
        <v>174</v>
      </c>
      <c r="AC6" s="11" t="s">
        <v>175</v>
      </c>
      <c r="AD6" s="16" t="s">
        <v>176</v>
      </c>
      <c r="AE6" s="41" t="n">
        <f aca="true">IF(OR(A6="",E6=""),"",IF(W6&lt;&gt;"",W6-E6,TODAY()-E6))</f>
        <v>7</v>
      </c>
      <c r="AF6" s="41" t="str">
        <f aca="true">IF(AND(U6="Pending",S6&lt;&gt;""),IF(TODAY()&gt;S6,"Overdue","No"),"")</f>
        <v/>
      </c>
      <c r="AG6" s="18" t="n">
        <v>46275</v>
      </c>
      <c r="AH6" s="41" t="str">
        <f aca="false">IF(AND(A6&lt;&gt;"",U6="Pending"),IF(S6="",99999,S6)+ROW()/100000,"")</f>
        <v/>
      </c>
    </row>
    <row r="7" customFormat="false" ht="60" hidden="false" customHeight="true" outlineLevel="0" collapsed="false">
      <c r="A7" s="16" t="s">
        <v>177</v>
      </c>
      <c r="B7" s="11" t="s">
        <v>178</v>
      </c>
      <c r="C7" s="11" t="s">
        <v>179</v>
      </c>
      <c r="D7" s="11" t="s">
        <v>180</v>
      </c>
      <c r="E7" s="18" t="n">
        <v>46259</v>
      </c>
      <c r="F7" s="11" t="s">
        <v>117</v>
      </c>
      <c r="G7" s="11" t="s">
        <v>117</v>
      </c>
      <c r="H7" s="11" t="s">
        <v>181</v>
      </c>
      <c r="I7" s="16" t="s">
        <v>182</v>
      </c>
      <c r="J7" s="11" t="s">
        <v>183</v>
      </c>
      <c r="K7" s="34" t="n">
        <v>5</v>
      </c>
      <c r="L7" s="34" t="n">
        <v>21</v>
      </c>
      <c r="M7" s="40" t="n">
        <v>18000</v>
      </c>
      <c r="N7" s="41" t="str">
        <f aca="false">IF(A7="","",IF(G7="Compliance","High",IF(AND(K7="",L7="",M7=""),"To assess",IF(OR(N(K7)&gt;=Cover!$C$27,N(L7)&gt;=Cover!$D$27,N(M7)&gt;=Cover!$E$27),"High",IF(OR(N(K7)&gt;=Cover!$C$28,N(L7)&gt;=Cover!$D$28,N(M7)&gt;=Cover!$E$28),"Medium","Low")))))</f>
        <v>High</v>
      </c>
      <c r="O7" s="41" t="str">
        <f aca="false">IF(N7="","",IF(N7="High",Cover!$F$27,IF(N7="Medium",Cover!$F$28,Cover!$F$29)))</f>
        <v>Steering Committee</v>
      </c>
      <c r="P7" s="11" t="s">
        <v>184</v>
      </c>
      <c r="Q7" s="11" t="s">
        <v>185</v>
      </c>
      <c r="R7" s="11" t="s">
        <v>186</v>
      </c>
      <c r="S7" s="18" t="n">
        <v>46270</v>
      </c>
      <c r="T7" s="16" t="s">
        <v>172</v>
      </c>
      <c r="U7" s="16" t="s">
        <v>187</v>
      </c>
      <c r="V7" s="11" t="s">
        <v>38</v>
      </c>
      <c r="W7" s="18" t="n">
        <v>46269</v>
      </c>
      <c r="X7" s="11" t="s">
        <v>188</v>
      </c>
      <c r="Y7" s="34" t="n">
        <v>5</v>
      </c>
      <c r="Z7" s="34" t="n">
        <v>21</v>
      </c>
      <c r="AA7" s="40" t="n">
        <v>18000</v>
      </c>
      <c r="AB7" s="16" t="s">
        <v>174</v>
      </c>
      <c r="AC7" s="11" t="s">
        <v>189</v>
      </c>
      <c r="AD7" s="16" t="s">
        <v>190</v>
      </c>
      <c r="AE7" s="41" t="n">
        <f aca="true">IF(OR(A7="",E7=""),"",IF(W7&lt;&gt;"",W7-E7,TODAY()-E7))</f>
        <v>10</v>
      </c>
      <c r="AF7" s="41" t="str">
        <f aca="true">IF(AND(U7="Pending",S7&lt;&gt;""),IF(TODAY()&gt;S7,"Overdue","No"),"")</f>
        <v/>
      </c>
      <c r="AG7" s="18" t="n">
        <v>46275</v>
      </c>
      <c r="AH7" s="41" t="str">
        <f aca="false">IF(AND(A7&lt;&gt;"",U7="Pending"),IF(S7="",99999,S7)+ROW()/100000,"")</f>
        <v/>
      </c>
    </row>
    <row r="8" customFormat="false" ht="60" hidden="false" customHeight="true" outlineLevel="0" collapsed="false">
      <c r="A8" s="16" t="s">
        <v>191</v>
      </c>
      <c r="B8" s="11" t="s">
        <v>192</v>
      </c>
      <c r="C8" s="11" t="s">
        <v>193</v>
      </c>
      <c r="D8" s="11" t="s">
        <v>194</v>
      </c>
      <c r="E8" s="18" t="n">
        <v>46262</v>
      </c>
      <c r="F8" s="11" t="s">
        <v>195</v>
      </c>
      <c r="G8" s="11" t="s">
        <v>112</v>
      </c>
      <c r="H8" s="11" t="s">
        <v>196</v>
      </c>
      <c r="I8" s="16" t="s">
        <v>39</v>
      </c>
      <c r="J8" s="11" t="s">
        <v>197</v>
      </c>
      <c r="K8" s="34" t="n">
        <v>4</v>
      </c>
      <c r="L8" s="34" t="n">
        <v>21</v>
      </c>
      <c r="M8" s="40" t="n">
        <v>15000</v>
      </c>
      <c r="N8" s="41" t="str">
        <f aca="false">IF(A8="","",IF(G8="Compliance","High",IF(AND(K8="",L8="",M8=""),"To assess",IF(OR(N(K8)&gt;=Cover!$C$27,N(L8)&gt;=Cover!$D$27,N(M8)&gt;=Cover!$E$27),"High",IF(OR(N(K8)&gt;=Cover!$C$28,N(L8)&gt;=Cover!$D$28,N(M8)&gt;=Cover!$E$28),"Medium","Low")))))</f>
        <v>Medium</v>
      </c>
      <c r="O8" s="41" t="str">
        <f aca="false">IF(N8="","",IF(N8="High",Cover!$F$27,IF(N8="Medium",Cover!$F$28,Cover!$F$29)))</f>
        <v>Business Sponsor</v>
      </c>
      <c r="P8" s="11" t="s">
        <v>198</v>
      </c>
      <c r="Q8" s="11" t="s">
        <v>199</v>
      </c>
      <c r="R8" s="11" t="s">
        <v>43</v>
      </c>
      <c r="S8" s="18" t="n">
        <v>46276</v>
      </c>
      <c r="T8" s="16" t="s">
        <v>200</v>
      </c>
      <c r="U8" s="16" t="s">
        <v>201</v>
      </c>
      <c r="V8" s="11" t="s">
        <v>40</v>
      </c>
      <c r="W8" s="18" t="n">
        <v>46273</v>
      </c>
      <c r="X8" s="11" t="s">
        <v>202</v>
      </c>
      <c r="Y8" s="34"/>
      <c r="Z8" s="34"/>
      <c r="AA8" s="40"/>
      <c r="AB8" s="16" t="s">
        <v>203</v>
      </c>
      <c r="AC8" s="11" t="s">
        <v>204</v>
      </c>
      <c r="AD8" s="16" t="s">
        <v>205</v>
      </c>
      <c r="AE8" s="41" t="n">
        <f aca="true">IF(OR(A8="",E8=""),"",IF(W8&lt;&gt;"",W8-E8,TODAY()-E8))</f>
        <v>11</v>
      </c>
      <c r="AF8" s="41" t="str">
        <f aca="true">IF(AND(U8="Pending",S8&lt;&gt;""),IF(TODAY()&gt;S8,"Overdue","No"),"")</f>
        <v/>
      </c>
      <c r="AG8" s="18" t="n">
        <v>46275</v>
      </c>
      <c r="AH8" s="41" t="str">
        <f aca="false">IF(AND(A8&lt;&gt;"",U8="Pending"),IF(S8="",99999,S8)+ROW()/100000,"")</f>
        <v/>
      </c>
    </row>
    <row r="9" customFormat="false" ht="87" hidden="false" customHeight="true" outlineLevel="0" collapsed="false">
      <c r="A9" s="16" t="s">
        <v>206</v>
      </c>
      <c r="B9" s="11" t="s">
        <v>207</v>
      </c>
      <c r="C9" s="11" t="s">
        <v>208</v>
      </c>
      <c r="D9" s="11" t="s">
        <v>209</v>
      </c>
      <c r="E9" s="18" t="n">
        <v>46272</v>
      </c>
      <c r="F9" s="11" t="s">
        <v>154</v>
      </c>
      <c r="G9" s="11" t="s">
        <v>115</v>
      </c>
      <c r="H9" s="11" t="s">
        <v>210</v>
      </c>
      <c r="I9" s="16" t="s">
        <v>37</v>
      </c>
      <c r="J9" s="11" t="s">
        <v>211</v>
      </c>
      <c r="K9" s="34" t="n">
        <v>3</v>
      </c>
      <c r="L9" s="34" t="n">
        <v>13</v>
      </c>
      <c r="M9" s="40" t="n">
        <v>4000</v>
      </c>
      <c r="N9" s="41" t="str">
        <f aca="false">IF(A9="","",IF(G9="Compliance","High",IF(AND(K9="",L9="",M9=""),"To assess",IF(OR(N(K9)&gt;=Cover!$C$27,N(L9)&gt;=Cover!$D$27,N(M9)&gt;=Cover!$E$27),"High",IF(OR(N(K9)&gt;=Cover!$C$28,N(L9)&gt;=Cover!$D$28,N(M9)&gt;=Cover!$E$28),"Medium","Low")))))</f>
        <v>Medium</v>
      </c>
      <c r="O9" s="41" t="str">
        <f aca="false">IF(N9="","",IF(N9="High",Cover!$F$27,IF(N9="Medium",Cover!$F$28,Cover!$F$29)))</f>
        <v>Business Sponsor</v>
      </c>
      <c r="P9" s="11" t="s">
        <v>212</v>
      </c>
      <c r="Q9" s="11" t="s">
        <v>213</v>
      </c>
      <c r="R9" s="11" t="s">
        <v>214</v>
      </c>
      <c r="S9" s="18" t="n">
        <v>46283</v>
      </c>
      <c r="T9" s="16" t="s">
        <v>160</v>
      </c>
      <c r="U9" s="16" t="s">
        <v>108</v>
      </c>
      <c r="V9" s="11"/>
      <c r="W9" s="18"/>
      <c r="X9" s="11"/>
      <c r="Y9" s="34"/>
      <c r="Z9" s="34"/>
      <c r="AA9" s="40"/>
      <c r="AB9" s="16" t="s">
        <v>161</v>
      </c>
      <c r="AC9" s="11"/>
      <c r="AD9" s="16" t="s">
        <v>215</v>
      </c>
      <c r="AE9" s="41" t="n">
        <f aca="true">IF(OR(A9="",E9=""),"",IF(W9&lt;&gt;"",W9-E9,TODAY()-E9))</f>
        <v>3</v>
      </c>
      <c r="AF9" s="41" t="str">
        <f aca="true">IF(AND(U9="Pending",S9&lt;&gt;""),IF(TODAY()&gt;S9,"Overdue","No"),"")</f>
        <v>No</v>
      </c>
      <c r="AG9" s="18" t="n">
        <v>46275</v>
      </c>
      <c r="AH9" s="42" t="n">
        <f aca="false">IF(AND(A9&lt;&gt;"",U9="Pending"),IF(S9="",99999,S9)+ROW()/100000,"")</f>
        <v>46283.00009</v>
      </c>
    </row>
    <row r="10" customFormat="false" ht="73.5" hidden="false" customHeight="true" outlineLevel="0" collapsed="false">
      <c r="A10" s="16" t="s">
        <v>216</v>
      </c>
      <c r="B10" s="11" t="s">
        <v>217</v>
      </c>
      <c r="C10" s="11" t="s">
        <v>218</v>
      </c>
      <c r="D10" s="11" t="s">
        <v>219</v>
      </c>
      <c r="E10" s="18" t="n">
        <v>46274</v>
      </c>
      <c r="F10" s="11" t="s">
        <v>220</v>
      </c>
      <c r="G10" s="11" t="s">
        <v>113</v>
      </c>
      <c r="H10" s="11" t="s">
        <v>221</v>
      </c>
      <c r="I10" s="16" t="s">
        <v>37</v>
      </c>
      <c r="J10" s="11" t="s">
        <v>222</v>
      </c>
      <c r="K10" s="34" t="n">
        <v>5</v>
      </c>
      <c r="L10" s="34" t="n">
        <v>0</v>
      </c>
      <c r="M10" s="40" t="n">
        <v>12000</v>
      </c>
      <c r="N10" s="41" t="str">
        <f aca="false">IF(A10="","",IF(G10="Compliance","High",IF(AND(K10="",L10="",M10=""),"To assess",IF(OR(N(K10)&gt;=Cover!$C$27,N(L10)&gt;=Cover!$D$27,N(M10)&gt;=Cover!$E$27),"High",IF(OR(N(K10)&gt;=Cover!$C$28,N(L10)&gt;=Cover!$D$28,N(M10)&gt;=Cover!$E$28),"Medium","Low")))))</f>
        <v>High</v>
      </c>
      <c r="O10" s="41" t="str">
        <f aca="false">IF(N10="","",IF(N10="High",Cover!$F$27,IF(N10="Medium",Cover!$F$28,Cover!$F$29)))</f>
        <v>Steering Committee</v>
      </c>
      <c r="P10" s="11" t="s">
        <v>223</v>
      </c>
      <c r="Q10" s="11" t="s">
        <v>224</v>
      </c>
      <c r="R10" s="11" t="s">
        <v>225</v>
      </c>
      <c r="S10" s="18" t="n">
        <v>46290</v>
      </c>
      <c r="T10" s="16" t="s">
        <v>226</v>
      </c>
      <c r="U10" s="16" t="s">
        <v>108</v>
      </c>
      <c r="V10" s="11"/>
      <c r="W10" s="18"/>
      <c r="X10" s="11"/>
      <c r="Y10" s="34"/>
      <c r="Z10" s="34"/>
      <c r="AA10" s="40"/>
      <c r="AB10" s="16" t="s">
        <v>161</v>
      </c>
      <c r="AC10" s="11"/>
      <c r="AD10" s="16" t="s">
        <v>227</v>
      </c>
      <c r="AE10" s="41" t="n">
        <f aca="true">IF(OR(A10="",E10=""),"",IF(W10&lt;&gt;"",W10-E10,TODAY()-E10))</f>
        <v>1</v>
      </c>
      <c r="AF10" s="41" t="str">
        <f aca="true">IF(AND(U10="Pending",S10&lt;&gt;""),IF(TODAY()&gt;S10,"Overdue","No"),"")</f>
        <v>No</v>
      </c>
      <c r="AG10" s="18" t="n">
        <v>46275</v>
      </c>
      <c r="AH10" s="42" t="n">
        <f aca="false">IF(AND(A10&lt;&gt;"",U10="Pending"),IF(S10="",99999,S10)+ROW()/100000,"")</f>
        <v>46290.0001</v>
      </c>
    </row>
    <row r="11" customFormat="false" ht="33" hidden="false" customHeight="true" outlineLevel="0" collapsed="false">
      <c r="A11" s="16" t="s">
        <v>228</v>
      </c>
      <c r="B11" s="11" t="s">
        <v>229</v>
      </c>
      <c r="C11" s="11" t="s">
        <v>230</v>
      </c>
      <c r="D11" s="11" t="s">
        <v>231</v>
      </c>
      <c r="E11" s="18" t="n">
        <v>46260</v>
      </c>
      <c r="F11" s="11" t="s">
        <v>195</v>
      </c>
      <c r="G11" s="11" t="s">
        <v>115</v>
      </c>
      <c r="H11" s="11" t="s">
        <v>232</v>
      </c>
      <c r="I11" s="16" t="s">
        <v>39</v>
      </c>
      <c r="J11" s="11" t="s">
        <v>233</v>
      </c>
      <c r="K11" s="34" t="n">
        <v>0</v>
      </c>
      <c r="L11" s="34" t="n">
        <v>3</v>
      </c>
      <c r="M11" s="40" t="n">
        <v>1500</v>
      </c>
      <c r="N11" s="41" t="str">
        <f aca="false">IF(A11="","",IF(G11="Compliance","High",IF(AND(K11="",L11="",M11=""),"To assess",IF(OR(N(K11)&gt;=Cover!$C$27,N(L11)&gt;=Cover!$D$27,N(M11)&gt;=Cover!$E$27),"High",IF(OR(N(K11)&gt;=Cover!$C$28,N(L11)&gt;=Cover!$D$28,N(M11)&gt;=Cover!$E$28),"Medium","Low")))))</f>
        <v>Low</v>
      </c>
      <c r="O11" s="41" t="str">
        <f aca="false">IF(N11="","",IF(N11="High",Cover!$F$27,IF(N11="Medium",Cover!$F$28,Cover!$F$29)))</f>
        <v>Product Owner</v>
      </c>
      <c r="P11" s="11" t="s">
        <v>234</v>
      </c>
      <c r="Q11" s="11" t="s">
        <v>235</v>
      </c>
      <c r="R11" s="11" t="s">
        <v>43</v>
      </c>
      <c r="S11" s="18" t="n">
        <v>46263</v>
      </c>
      <c r="T11" s="16" t="s">
        <v>200</v>
      </c>
      <c r="U11" s="16" t="s">
        <v>109</v>
      </c>
      <c r="V11" s="11" t="s">
        <v>43</v>
      </c>
      <c r="W11" s="18" t="n">
        <v>46261</v>
      </c>
      <c r="X11" s="11" t="s">
        <v>236</v>
      </c>
      <c r="Y11" s="34" t="n">
        <v>0</v>
      </c>
      <c r="Z11" s="34" t="n">
        <v>3</v>
      </c>
      <c r="AA11" s="40" t="n">
        <v>1500</v>
      </c>
      <c r="AB11" s="16" t="s">
        <v>237</v>
      </c>
      <c r="AC11" s="11" t="s">
        <v>238</v>
      </c>
      <c r="AD11" s="16" t="s">
        <v>239</v>
      </c>
      <c r="AE11" s="41" t="n">
        <f aca="true">IF(OR(A11="",E11=""),"",IF(W11&lt;&gt;"",W11-E11,TODAY()-E11))</f>
        <v>1</v>
      </c>
      <c r="AF11" s="41" t="str">
        <f aca="true">IF(AND(U11="Pending",S11&lt;&gt;""),IF(TODAY()&gt;S11,"Overdue","No"),"")</f>
        <v/>
      </c>
      <c r="AG11" s="18" t="n">
        <v>46275</v>
      </c>
      <c r="AH11" s="41" t="str">
        <f aca="false">IF(AND(A11&lt;&gt;"",U11="Pending"),IF(S11="",99999,S11)+ROW()/100000,"")</f>
        <v/>
      </c>
    </row>
    <row r="12" customFormat="false" ht="46.5" hidden="false" customHeight="true" outlineLevel="0" collapsed="false">
      <c r="A12" s="16" t="s">
        <v>240</v>
      </c>
      <c r="B12" s="11" t="s">
        <v>241</v>
      </c>
      <c r="C12" s="11" t="s">
        <v>242</v>
      </c>
      <c r="D12" s="11" t="s">
        <v>194</v>
      </c>
      <c r="E12" s="18" t="n">
        <v>46255</v>
      </c>
      <c r="F12" s="11" t="s">
        <v>195</v>
      </c>
      <c r="G12" s="11" t="s">
        <v>112</v>
      </c>
      <c r="H12" s="11" t="s">
        <v>243</v>
      </c>
      <c r="I12" s="16" t="s">
        <v>39</v>
      </c>
      <c r="J12" s="11" t="s">
        <v>244</v>
      </c>
      <c r="K12" s="34" t="n">
        <v>3</v>
      </c>
      <c r="L12" s="34" t="n">
        <v>13</v>
      </c>
      <c r="M12" s="40" t="n">
        <v>8000</v>
      </c>
      <c r="N12" s="41" t="str">
        <f aca="false">IF(A12="","",IF(G12="Compliance","High",IF(AND(K12="",L12="",M12=""),"To assess",IF(OR(N(K12)&gt;=Cover!$C$27,N(L12)&gt;=Cover!$D$27,N(M12)&gt;=Cover!$E$27),"High",IF(OR(N(K12)&gt;=Cover!$C$28,N(L12)&gt;=Cover!$D$28,N(M12)&gt;=Cover!$E$28),"Medium","Low")))))</f>
        <v>Medium</v>
      </c>
      <c r="O12" s="41" t="str">
        <f aca="false">IF(N12="","",IF(N12="High",Cover!$F$27,IF(N12="Medium",Cover!$F$28,Cover!$F$29)))</f>
        <v>Business Sponsor</v>
      </c>
      <c r="P12" s="11" t="s">
        <v>245</v>
      </c>
      <c r="Q12" s="11" t="s">
        <v>246</v>
      </c>
      <c r="R12" s="11" t="s">
        <v>247</v>
      </c>
      <c r="S12" s="18" t="n">
        <v>46267</v>
      </c>
      <c r="T12" s="16" t="s">
        <v>200</v>
      </c>
      <c r="U12" s="16" t="s">
        <v>74</v>
      </c>
      <c r="V12" s="11" t="s">
        <v>40</v>
      </c>
      <c r="W12" s="18" t="n">
        <v>46266</v>
      </c>
      <c r="X12" s="11" t="s">
        <v>248</v>
      </c>
      <c r="Y12" s="34"/>
      <c r="Z12" s="34"/>
      <c r="AA12" s="40"/>
      <c r="AB12" s="16" t="s">
        <v>203</v>
      </c>
      <c r="AC12" s="11" t="s">
        <v>249</v>
      </c>
      <c r="AD12" s="16" t="s">
        <v>250</v>
      </c>
      <c r="AE12" s="41" t="n">
        <f aca="true">IF(OR(A12="",E12=""),"",IF(W12&lt;&gt;"",W12-E12,TODAY()-E12))</f>
        <v>11</v>
      </c>
      <c r="AF12" s="41" t="str">
        <f aca="true">IF(AND(U12="Pending",S12&lt;&gt;""),IF(TODAY()&gt;S12,"Overdue","No"),"")</f>
        <v/>
      </c>
      <c r="AG12" s="18" t="n">
        <v>46275</v>
      </c>
      <c r="AH12" s="41" t="str">
        <f aca="false">IF(AND(A12&lt;&gt;"",U12="Pending"),IF(S12="",99999,S12)+ROW()/100000,"")</f>
        <v/>
      </c>
    </row>
    <row r="13" customFormat="false" ht="46.5" hidden="false" customHeight="true" outlineLevel="0" collapsed="false">
      <c r="A13" s="16" t="s">
        <v>251</v>
      </c>
      <c r="B13" s="11" t="s">
        <v>252</v>
      </c>
      <c r="C13" s="11" t="s">
        <v>253</v>
      </c>
      <c r="D13" s="11" t="s">
        <v>231</v>
      </c>
      <c r="E13" s="18" t="n">
        <v>46274</v>
      </c>
      <c r="F13" s="11" t="s">
        <v>195</v>
      </c>
      <c r="G13" s="11" t="s">
        <v>112</v>
      </c>
      <c r="H13" s="11" t="s">
        <v>254</v>
      </c>
      <c r="I13" s="16" t="s">
        <v>39</v>
      </c>
      <c r="J13" s="11" t="s">
        <v>255</v>
      </c>
      <c r="K13" s="34"/>
      <c r="L13" s="34"/>
      <c r="M13" s="40"/>
      <c r="N13" s="41" t="str">
        <f aca="false">IF(A13="","",IF(G13="Compliance","High",IF(AND(K13="",L13="",M13=""),"To assess",IF(OR(N(K13)&gt;=Cover!$C$27,N(L13)&gt;=Cover!$D$27,N(M13)&gt;=Cover!$E$27),"High",IF(OR(N(K13)&gt;=Cover!$C$28,N(L13)&gt;=Cover!$D$28,N(M13)&gt;=Cover!$E$28),"Medium","Low")))))</f>
        <v>To assess</v>
      </c>
      <c r="O13" s="41" t="str">
        <f aca="false">IF(N13="","",IF(N13="High",Cover!$F$27,IF(N13="Medium",Cover!$F$28,Cover!$F$29)))</f>
        <v>Product Owner</v>
      </c>
      <c r="P13" s="11" t="s">
        <v>256</v>
      </c>
      <c r="Q13" s="11"/>
      <c r="R13" s="11" t="s">
        <v>43</v>
      </c>
      <c r="S13" s="18" t="n">
        <v>46297</v>
      </c>
      <c r="T13" s="16" t="s">
        <v>226</v>
      </c>
      <c r="U13" s="16" t="s">
        <v>108</v>
      </c>
      <c r="V13" s="11"/>
      <c r="W13" s="18"/>
      <c r="X13" s="11"/>
      <c r="Y13" s="34"/>
      <c r="Z13" s="34"/>
      <c r="AA13" s="40"/>
      <c r="AB13" s="16" t="s">
        <v>161</v>
      </c>
      <c r="AC13" s="11"/>
      <c r="AD13" s="16" t="s">
        <v>239</v>
      </c>
      <c r="AE13" s="41" t="n">
        <f aca="true">IF(OR(A13="",E13=""),"",IF(W13&lt;&gt;"",W13-E13,TODAY()-E13))</f>
        <v>1</v>
      </c>
      <c r="AF13" s="41" t="str">
        <f aca="true">IF(AND(U13="Pending",S13&lt;&gt;""),IF(TODAY()&gt;S13,"Overdue","No"),"")</f>
        <v>No</v>
      </c>
      <c r="AG13" s="18" t="n">
        <v>46275</v>
      </c>
      <c r="AH13" s="42" t="n">
        <f aca="false">IF(AND(A13&lt;&gt;"",U13="Pending"),IF(S13="",99999,S13)+ROW()/100000,"")</f>
        <v>46297.00013</v>
      </c>
    </row>
    <row r="14" customFormat="false" ht="19.5" hidden="false" customHeight="true" outlineLevel="0" collapsed="false">
      <c r="A14" s="16"/>
      <c r="B14" s="11"/>
      <c r="C14" s="11"/>
      <c r="D14" s="11"/>
      <c r="E14" s="18"/>
      <c r="F14" s="11"/>
      <c r="G14" s="11"/>
      <c r="H14" s="11"/>
      <c r="I14" s="16"/>
      <c r="J14" s="11"/>
      <c r="K14" s="34"/>
      <c r="L14" s="34"/>
      <c r="M14" s="40"/>
      <c r="N14" s="41" t="str">
        <f aca="false">IF(A14="","",IF(G14="Compliance","High",IF(AND(K14="",L14="",M14=""),"To assess",IF(OR(N(K14)&gt;=Cover!$C$27,N(L14)&gt;=Cover!$D$27,N(M14)&gt;=Cover!$E$27),"High",IF(OR(N(K14)&gt;=Cover!$C$28,N(L14)&gt;=Cover!$D$28,N(M14)&gt;=Cover!$E$28),"Medium","Low")))))</f>
        <v/>
      </c>
      <c r="O14" s="41" t="str">
        <f aca="false">IF(N14="","",IF(N14="High",Cover!$F$27,IF(N14="Medium",Cover!$F$28,Cover!$F$29)))</f>
        <v/>
      </c>
      <c r="P14" s="11"/>
      <c r="Q14" s="11"/>
      <c r="R14" s="11"/>
      <c r="S14" s="18"/>
      <c r="T14" s="16"/>
      <c r="U14" s="16"/>
      <c r="V14" s="11"/>
      <c r="W14" s="18"/>
      <c r="X14" s="11"/>
      <c r="Y14" s="34"/>
      <c r="Z14" s="34"/>
      <c r="AA14" s="40"/>
      <c r="AB14" s="16"/>
      <c r="AC14" s="11"/>
      <c r="AD14" s="16"/>
      <c r="AE14" s="41" t="str">
        <f aca="true">IF(OR(A14="",E14=""),"",IF(W14&lt;&gt;"",W14-E14,TODAY()-E14))</f>
        <v/>
      </c>
      <c r="AF14" s="41" t="str">
        <f aca="true">IF(AND(U14="Pending",S14&lt;&gt;""),IF(TODAY()&gt;S14,"Overdue","No"),"")</f>
        <v/>
      </c>
      <c r="AG14" s="18"/>
      <c r="AH14" s="41" t="str">
        <f aca="false">IF(AND(A14&lt;&gt;"",U14="Pending"),IF(S14="",99999,S14)+ROW()/100000,"")</f>
        <v/>
      </c>
    </row>
    <row r="15" customFormat="false" ht="19.5" hidden="false" customHeight="true" outlineLevel="0" collapsed="false">
      <c r="A15" s="16"/>
      <c r="B15" s="11"/>
      <c r="C15" s="11"/>
      <c r="D15" s="11"/>
      <c r="E15" s="18"/>
      <c r="F15" s="11"/>
      <c r="G15" s="11"/>
      <c r="H15" s="11"/>
      <c r="I15" s="16"/>
      <c r="J15" s="11"/>
      <c r="K15" s="34"/>
      <c r="L15" s="34"/>
      <c r="M15" s="40"/>
      <c r="N15" s="41" t="str">
        <f aca="false">IF(A15="","",IF(G15="Compliance","High",IF(AND(K15="",L15="",M15=""),"To assess",IF(OR(N(K15)&gt;=Cover!$C$27,N(L15)&gt;=Cover!$D$27,N(M15)&gt;=Cover!$E$27),"High",IF(OR(N(K15)&gt;=Cover!$C$28,N(L15)&gt;=Cover!$D$28,N(M15)&gt;=Cover!$E$28),"Medium","Low")))))</f>
        <v/>
      </c>
      <c r="O15" s="41" t="str">
        <f aca="false">IF(N15="","",IF(N15="High",Cover!$F$27,IF(N15="Medium",Cover!$F$28,Cover!$F$29)))</f>
        <v/>
      </c>
      <c r="P15" s="11"/>
      <c r="Q15" s="11"/>
      <c r="R15" s="11"/>
      <c r="S15" s="18"/>
      <c r="T15" s="16"/>
      <c r="U15" s="16"/>
      <c r="V15" s="11"/>
      <c r="W15" s="18"/>
      <c r="X15" s="11"/>
      <c r="Y15" s="34"/>
      <c r="Z15" s="34"/>
      <c r="AA15" s="40"/>
      <c r="AB15" s="16"/>
      <c r="AC15" s="11"/>
      <c r="AD15" s="16"/>
      <c r="AE15" s="41" t="str">
        <f aca="true">IF(OR(A15="",E15=""),"",IF(W15&lt;&gt;"",W15-E15,TODAY()-E15))</f>
        <v/>
      </c>
      <c r="AF15" s="41" t="str">
        <f aca="true">IF(AND(U15="Pending",S15&lt;&gt;""),IF(TODAY()&gt;S15,"Overdue","No"),"")</f>
        <v/>
      </c>
      <c r="AG15" s="18"/>
      <c r="AH15" s="41" t="str">
        <f aca="false">IF(AND(A15&lt;&gt;"",U15="Pending"),IF(S15="",99999,S15)+ROW()/100000,"")</f>
        <v/>
      </c>
    </row>
    <row r="16" customFormat="false" ht="19.5" hidden="false" customHeight="true" outlineLevel="0" collapsed="false">
      <c r="A16" s="16"/>
      <c r="B16" s="11"/>
      <c r="C16" s="11"/>
      <c r="D16" s="11"/>
      <c r="E16" s="18"/>
      <c r="F16" s="11"/>
      <c r="G16" s="11"/>
      <c r="H16" s="11"/>
      <c r="I16" s="16"/>
      <c r="J16" s="11"/>
      <c r="K16" s="34"/>
      <c r="L16" s="34"/>
      <c r="M16" s="40"/>
      <c r="N16" s="41" t="str">
        <f aca="false">IF(A16="","",IF(G16="Compliance","High",IF(AND(K16="",L16="",M16=""),"To assess",IF(OR(N(K16)&gt;=Cover!$C$27,N(L16)&gt;=Cover!$D$27,N(M16)&gt;=Cover!$E$27),"High",IF(OR(N(K16)&gt;=Cover!$C$28,N(L16)&gt;=Cover!$D$28,N(M16)&gt;=Cover!$E$28),"Medium","Low")))))</f>
        <v/>
      </c>
      <c r="O16" s="41" t="str">
        <f aca="false">IF(N16="","",IF(N16="High",Cover!$F$27,IF(N16="Medium",Cover!$F$28,Cover!$F$29)))</f>
        <v/>
      </c>
      <c r="P16" s="11"/>
      <c r="Q16" s="11"/>
      <c r="R16" s="11"/>
      <c r="S16" s="18"/>
      <c r="T16" s="16"/>
      <c r="U16" s="16"/>
      <c r="V16" s="11"/>
      <c r="W16" s="18"/>
      <c r="X16" s="11"/>
      <c r="Y16" s="34"/>
      <c r="Z16" s="34"/>
      <c r="AA16" s="40"/>
      <c r="AB16" s="16"/>
      <c r="AC16" s="11"/>
      <c r="AD16" s="16"/>
      <c r="AE16" s="41" t="str">
        <f aca="true">IF(OR(A16="",E16=""),"",IF(W16&lt;&gt;"",W16-E16,TODAY()-E16))</f>
        <v/>
      </c>
      <c r="AF16" s="41" t="str">
        <f aca="true">IF(AND(U16="Pending",S16&lt;&gt;""),IF(TODAY()&gt;S16,"Overdue","No"),"")</f>
        <v/>
      </c>
      <c r="AG16" s="18"/>
      <c r="AH16" s="41" t="str">
        <f aca="false">IF(AND(A16&lt;&gt;"",U16="Pending"),IF(S16="",99999,S16)+ROW()/100000,"")</f>
        <v/>
      </c>
    </row>
    <row r="17" customFormat="false" ht="19.5" hidden="false" customHeight="true" outlineLevel="0" collapsed="false">
      <c r="A17" s="16"/>
      <c r="B17" s="11"/>
      <c r="C17" s="11"/>
      <c r="D17" s="11"/>
      <c r="E17" s="18"/>
      <c r="F17" s="11"/>
      <c r="G17" s="11"/>
      <c r="H17" s="11"/>
      <c r="I17" s="16"/>
      <c r="J17" s="11"/>
      <c r="K17" s="34"/>
      <c r="L17" s="34"/>
      <c r="M17" s="40"/>
      <c r="N17" s="41" t="str">
        <f aca="false">IF(A17="","",IF(G17="Compliance","High",IF(AND(K17="",L17="",M17=""),"To assess",IF(OR(N(K17)&gt;=Cover!$C$27,N(L17)&gt;=Cover!$D$27,N(M17)&gt;=Cover!$E$27),"High",IF(OR(N(K17)&gt;=Cover!$C$28,N(L17)&gt;=Cover!$D$28,N(M17)&gt;=Cover!$E$28),"Medium","Low")))))</f>
        <v/>
      </c>
      <c r="O17" s="41" t="str">
        <f aca="false">IF(N17="","",IF(N17="High",Cover!$F$27,IF(N17="Medium",Cover!$F$28,Cover!$F$29)))</f>
        <v/>
      </c>
      <c r="P17" s="11"/>
      <c r="Q17" s="11"/>
      <c r="R17" s="11"/>
      <c r="S17" s="18"/>
      <c r="T17" s="16"/>
      <c r="U17" s="16"/>
      <c r="V17" s="11"/>
      <c r="W17" s="18"/>
      <c r="X17" s="11"/>
      <c r="Y17" s="34"/>
      <c r="Z17" s="34"/>
      <c r="AA17" s="40"/>
      <c r="AB17" s="16"/>
      <c r="AC17" s="11"/>
      <c r="AD17" s="16"/>
      <c r="AE17" s="41" t="str">
        <f aca="true">IF(OR(A17="",E17=""),"",IF(W17&lt;&gt;"",W17-E17,TODAY()-E17))</f>
        <v/>
      </c>
      <c r="AF17" s="41" t="str">
        <f aca="true">IF(AND(U17="Pending",S17&lt;&gt;""),IF(TODAY()&gt;S17,"Overdue","No"),"")</f>
        <v/>
      </c>
      <c r="AG17" s="18"/>
      <c r="AH17" s="41" t="str">
        <f aca="false">IF(AND(A17&lt;&gt;"",U17="Pending"),IF(S17="",99999,S17)+ROW()/100000,"")</f>
        <v/>
      </c>
    </row>
    <row r="18" customFormat="false" ht="19.5" hidden="false" customHeight="true" outlineLevel="0" collapsed="false">
      <c r="A18" s="16"/>
      <c r="B18" s="11"/>
      <c r="C18" s="11"/>
      <c r="D18" s="11"/>
      <c r="E18" s="18"/>
      <c r="F18" s="11"/>
      <c r="G18" s="11"/>
      <c r="H18" s="11"/>
      <c r="I18" s="16"/>
      <c r="J18" s="11"/>
      <c r="K18" s="34"/>
      <c r="L18" s="34"/>
      <c r="M18" s="40"/>
      <c r="N18" s="41" t="str">
        <f aca="false">IF(A18="","",IF(G18="Compliance","High",IF(AND(K18="",L18="",M18=""),"To assess",IF(OR(N(K18)&gt;=Cover!$C$27,N(L18)&gt;=Cover!$D$27,N(M18)&gt;=Cover!$E$27),"High",IF(OR(N(K18)&gt;=Cover!$C$28,N(L18)&gt;=Cover!$D$28,N(M18)&gt;=Cover!$E$28),"Medium","Low")))))</f>
        <v/>
      </c>
      <c r="O18" s="41" t="str">
        <f aca="false">IF(N18="","",IF(N18="High",Cover!$F$27,IF(N18="Medium",Cover!$F$28,Cover!$F$29)))</f>
        <v/>
      </c>
      <c r="P18" s="11"/>
      <c r="Q18" s="11"/>
      <c r="R18" s="11"/>
      <c r="S18" s="18"/>
      <c r="T18" s="16"/>
      <c r="U18" s="16"/>
      <c r="V18" s="11"/>
      <c r="W18" s="18"/>
      <c r="X18" s="11"/>
      <c r="Y18" s="34"/>
      <c r="Z18" s="34"/>
      <c r="AA18" s="40"/>
      <c r="AB18" s="16"/>
      <c r="AC18" s="11"/>
      <c r="AD18" s="16"/>
      <c r="AE18" s="41" t="str">
        <f aca="true">IF(OR(A18="",E18=""),"",IF(W18&lt;&gt;"",W18-E18,TODAY()-E18))</f>
        <v/>
      </c>
      <c r="AF18" s="41" t="str">
        <f aca="true">IF(AND(U18="Pending",S18&lt;&gt;""),IF(TODAY()&gt;S18,"Overdue","No"),"")</f>
        <v/>
      </c>
      <c r="AG18" s="18"/>
      <c r="AH18" s="41" t="str">
        <f aca="false">IF(AND(A18&lt;&gt;"",U18="Pending"),IF(S18="",99999,S18)+ROW()/100000,"")</f>
        <v/>
      </c>
    </row>
    <row r="19" customFormat="false" ht="19.5" hidden="false" customHeight="true" outlineLevel="0" collapsed="false">
      <c r="A19" s="16"/>
      <c r="B19" s="11"/>
      <c r="C19" s="11"/>
      <c r="D19" s="11"/>
      <c r="E19" s="18"/>
      <c r="F19" s="11"/>
      <c r="G19" s="11"/>
      <c r="H19" s="11"/>
      <c r="I19" s="16"/>
      <c r="J19" s="11"/>
      <c r="K19" s="34"/>
      <c r="L19" s="34"/>
      <c r="M19" s="40"/>
      <c r="N19" s="41" t="str">
        <f aca="false">IF(A19="","",IF(G19="Compliance","High",IF(AND(K19="",L19="",M19=""),"To assess",IF(OR(N(K19)&gt;=Cover!$C$27,N(L19)&gt;=Cover!$D$27,N(M19)&gt;=Cover!$E$27),"High",IF(OR(N(K19)&gt;=Cover!$C$28,N(L19)&gt;=Cover!$D$28,N(M19)&gt;=Cover!$E$28),"Medium","Low")))))</f>
        <v/>
      </c>
      <c r="O19" s="41" t="str">
        <f aca="false">IF(N19="","",IF(N19="High",Cover!$F$27,IF(N19="Medium",Cover!$F$28,Cover!$F$29)))</f>
        <v/>
      </c>
      <c r="P19" s="11"/>
      <c r="Q19" s="11"/>
      <c r="R19" s="11"/>
      <c r="S19" s="18"/>
      <c r="T19" s="16"/>
      <c r="U19" s="16"/>
      <c r="V19" s="11"/>
      <c r="W19" s="18"/>
      <c r="X19" s="11"/>
      <c r="Y19" s="34"/>
      <c r="Z19" s="34"/>
      <c r="AA19" s="40"/>
      <c r="AB19" s="16"/>
      <c r="AC19" s="11"/>
      <c r="AD19" s="16"/>
      <c r="AE19" s="41" t="str">
        <f aca="true">IF(OR(A19="",E19=""),"",IF(W19&lt;&gt;"",W19-E19,TODAY()-E19))</f>
        <v/>
      </c>
      <c r="AF19" s="41" t="str">
        <f aca="true">IF(AND(U19="Pending",S19&lt;&gt;""),IF(TODAY()&gt;S19,"Overdue","No"),"")</f>
        <v/>
      </c>
      <c r="AG19" s="18"/>
      <c r="AH19" s="41" t="str">
        <f aca="false">IF(AND(A19&lt;&gt;"",U19="Pending"),IF(S19="",99999,S19)+ROW()/100000,"")</f>
        <v/>
      </c>
    </row>
    <row r="20" customFormat="false" ht="19.5" hidden="false" customHeight="true" outlineLevel="0" collapsed="false">
      <c r="A20" s="16"/>
      <c r="B20" s="11"/>
      <c r="C20" s="11"/>
      <c r="D20" s="11"/>
      <c r="E20" s="18"/>
      <c r="F20" s="11"/>
      <c r="G20" s="11"/>
      <c r="H20" s="11"/>
      <c r="I20" s="16"/>
      <c r="J20" s="11"/>
      <c r="K20" s="34"/>
      <c r="L20" s="34"/>
      <c r="M20" s="40"/>
      <c r="N20" s="41" t="str">
        <f aca="false">IF(A20="","",IF(G20="Compliance","High",IF(AND(K20="",L20="",M20=""),"To assess",IF(OR(N(K20)&gt;=Cover!$C$27,N(L20)&gt;=Cover!$D$27,N(M20)&gt;=Cover!$E$27),"High",IF(OR(N(K20)&gt;=Cover!$C$28,N(L20)&gt;=Cover!$D$28,N(M20)&gt;=Cover!$E$28),"Medium","Low")))))</f>
        <v/>
      </c>
      <c r="O20" s="41" t="str">
        <f aca="false">IF(N20="","",IF(N20="High",Cover!$F$27,IF(N20="Medium",Cover!$F$28,Cover!$F$29)))</f>
        <v/>
      </c>
      <c r="P20" s="11"/>
      <c r="Q20" s="11"/>
      <c r="R20" s="11"/>
      <c r="S20" s="18"/>
      <c r="T20" s="16"/>
      <c r="U20" s="16"/>
      <c r="V20" s="11"/>
      <c r="W20" s="18"/>
      <c r="X20" s="11"/>
      <c r="Y20" s="34"/>
      <c r="Z20" s="34"/>
      <c r="AA20" s="40"/>
      <c r="AB20" s="16"/>
      <c r="AC20" s="11"/>
      <c r="AD20" s="16"/>
      <c r="AE20" s="41" t="str">
        <f aca="true">IF(OR(A20="",E20=""),"",IF(W20&lt;&gt;"",W20-E20,TODAY()-E20))</f>
        <v/>
      </c>
      <c r="AF20" s="41" t="str">
        <f aca="true">IF(AND(U20="Pending",S20&lt;&gt;""),IF(TODAY()&gt;S20,"Overdue","No"),"")</f>
        <v/>
      </c>
      <c r="AG20" s="18"/>
      <c r="AH20" s="41" t="str">
        <f aca="false">IF(AND(A20&lt;&gt;"",U20="Pending"),IF(S20="",99999,S20)+ROW()/100000,"")</f>
        <v/>
      </c>
    </row>
    <row r="21" customFormat="false" ht="19.5" hidden="false" customHeight="true" outlineLevel="0" collapsed="false">
      <c r="A21" s="16"/>
      <c r="B21" s="11"/>
      <c r="C21" s="11"/>
      <c r="D21" s="11"/>
      <c r="E21" s="18"/>
      <c r="F21" s="11"/>
      <c r="G21" s="11"/>
      <c r="H21" s="11"/>
      <c r="I21" s="16"/>
      <c r="J21" s="11"/>
      <c r="K21" s="34"/>
      <c r="L21" s="34"/>
      <c r="M21" s="40"/>
      <c r="N21" s="41" t="str">
        <f aca="false">IF(A21="","",IF(G21="Compliance","High",IF(AND(K21="",L21="",M21=""),"To assess",IF(OR(N(K21)&gt;=Cover!$C$27,N(L21)&gt;=Cover!$D$27,N(M21)&gt;=Cover!$E$27),"High",IF(OR(N(K21)&gt;=Cover!$C$28,N(L21)&gt;=Cover!$D$28,N(M21)&gt;=Cover!$E$28),"Medium","Low")))))</f>
        <v/>
      </c>
      <c r="O21" s="41" t="str">
        <f aca="false">IF(N21="","",IF(N21="High",Cover!$F$27,IF(N21="Medium",Cover!$F$28,Cover!$F$29)))</f>
        <v/>
      </c>
      <c r="P21" s="11"/>
      <c r="Q21" s="11"/>
      <c r="R21" s="11"/>
      <c r="S21" s="18"/>
      <c r="T21" s="16"/>
      <c r="U21" s="16"/>
      <c r="V21" s="11"/>
      <c r="W21" s="18"/>
      <c r="X21" s="11"/>
      <c r="Y21" s="34"/>
      <c r="Z21" s="34"/>
      <c r="AA21" s="40"/>
      <c r="AB21" s="16"/>
      <c r="AC21" s="11"/>
      <c r="AD21" s="16"/>
      <c r="AE21" s="41" t="str">
        <f aca="true">IF(OR(A21="",E21=""),"",IF(W21&lt;&gt;"",W21-E21,TODAY()-E21))</f>
        <v/>
      </c>
      <c r="AF21" s="41" t="str">
        <f aca="true">IF(AND(U21="Pending",S21&lt;&gt;""),IF(TODAY()&gt;S21,"Overdue","No"),"")</f>
        <v/>
      </c>
      <c r="AG21" s="18"/>
      <c r="AH21" s="41" t="str">
        <f aca="false">IF(AND(A21&lt;&gt;"",U21="Pending"),IF(S21="",99999,S21)+ROW()/100000,"")</f>
        <v/>
      </c>
    </row>
    <row r="22" customFormat="false" ht="19.5" hidden="false" customHeight="true" outlineLevel="0" collapsed="false">
      <c r="A22" s="16"/>
      <c r="B22" s="11"/>
      <c r="C22" s="11"/>
      <c r="D22" s="11"/>
      <c r="E22" s="18"/>
      <c r="F22" s="11"/>
      <c r="G22" s="11"/>
      <c r="H22" s="11"/>
      <c r="I22" s="16"/>
      <c r="J22" s="11"/>
      <c r="K22" s="34"/>
      <c r="L22" s="34"/>
      <c r="M22" s="40"/>
      <c r="N22" s="41" t="str">
        <f aca="false">IF(A22="","",IF(G22="Compliance","High",IF(AND(K22="",L22="",M22=""),"To assess",IF(OR(N(K22)&gt;=Cover!$C$27,N(L22)&gt;=Cover!$D$27,N(M22)&gt;=Cover!$E$27),"High",IF(OR(N(K22)&gt;=Cover!$C$28,N(L22)&gt;=Cover!$D$28,N(M22)&gt;=Cover!$E$28),"Medium","Low")))))</f>
        <v/>
      </c>
      <c r="O22" s="41" t="str">
        <f aca="false">IF(N22="","",IF(N22="High",Cover!$F$27,IF(N22="Medium",Cover!$F$28,Cover!$F$29)))</f>
        <v/>
      </c>
      <c r="P22" s="11"/>
      <c r="Q22" s="11"/>
      <c r="R22" s="11"/>
      <c r="S22" s="18"/>
      <c r="T22" s="16"/>
      <c r="U22" s="16"/>
      <c r="V22" s="11"/>
      <c r="W22" s="18"/>
      <c r="X22" s="11"/>
      <c r="Y22" s="34"/>
      <c r="Z22" s="34"/>
      <c r="AA22" s="40"/>
      <c r="AB22" s="16"/>
      <c r="AC22" s="11"/>
      <c r="AD22" s="16"/>
      <c r="AE22" s="41" t="str">
        <f aca="true">IF(OR(A22="",E22=""),"",IF(W22&lt;&gt;"",W22-E22,TODAY()-E22))</f>
        <v/>
      </c>
      <c r="AF22" s="41" t="str">
        <f aca="true">IF(AND(U22="Pending",S22&lt;&gt;""),IF(TODAY()&gt;S22,"Overdue","No"),"")</f>
        <v/>
      </c>
      <c r="AG22" s="18"/>
      <c r="AH22" s="41" t="str">
        <f aca="false">IF(AND(A22&lt;&gt;"",U22="Pending"),IF(S22="",99999,S22)+ROW()/100000,"")</f>
        <v/>
      </c>
    </row>
    <row r="23" customFormat="false" ht="19.5" hidden="false" customHeight="true" outlineLevel="0" collapsed="false">
      <c r="A23" s="16"/>
      <c r="B23" s="11"/>
      <c r="C23" s="11"/>
      <c r="D23" s="11"/>
      <c r="E23" s="18"/>
      <c r="F23" s="11"/>
      <c r="G23" s="11"/>
      <c r="H23" s="11"/>
      <c r="I23" s="16"/>
      <c r="J23" s="11"/>
      <c r="K23" s="34"/>
      <c r="L23" s="34"/>
      <c r="M23" s="40"/>
      <c r="N23" s="41" t="str">
        <f aca="false">IF(A23="","",IF(G23="Compliance","High",IF(AND(K23="",L23="",M23=""),"To assess",IF(OR(N(K23)&gt;=Cover!$C$27,N(L23)&gt;=Cover!$D$27,N(M23)&gt;=Cover!$E$27),"High",IF(OR(N(K23)&gt;=Cover!$C$28,N(L23)&gt;=Cover!$D$28,N(M23)&gt;=Cover!$E$28),"Medium","Low")))))</f>
        <v/>
      </c>
      <c r="O23" s="41" t="str">
        <f aca="false">IF(N23="","",IF(N23="High",Cover!$F$27,IF(N23="Medium",Cover!$F$28,Cover!$F$29)))</f>
        <v/>
      </c>
      <c r="P23" s="11"/>
      <c r="Q23" s="11"/>
      <c r="R23" s="11"/>
      <c r="S23" s="18"/>
      <c r="T23" s="16"/>
      <c r="U23" s="16"/>
      <c r="V23" s="11"/>
      <c r="W23" s="18"/>
      <c r="X23" s="11"/>
      <c r="Y23" s="34"/>
      <c r="Z23" s="34"/>
      <c r="AA23" s="40"/>
      <c r="AB23" s="16"/>
      <c r="AC23" s="11"/>
      <c r="AD23" s="16"/>
      <c r="AE23" s="41" t="str">
        <f aca="true">IF(OR(A23="",E23=""),"",IF(W23&lt;&gt;"",W23-E23,TODAY()-E23))</f>
        <v/>
      </c>
      <c r="AF23" s="41" t="str">
        <f aca="true">IF(AND(U23="Pending",S23&lt;&gt;""),IF(TODAY()&gt;S23,"Overdue","No"),"")</f>
        <v/>
      </c>
      <c r="AG23" s="18"/>
      <c r="AH23" s="41" t="str">
        <f aca="false">IF(AND(A23&lt;&gt;"",U23="Pending"),IF(S23="",99999,S23)+ROW()/100000,"")</f>
        <v/>
      </c>
    </row>
    <row r="24" customFormat="false" ht="19.5" hidden="false" customHeight="true" outlineLevel="0" collapsed="false">
      <c r="A24" s="16"/>
      <c r="B24" s="11"/>
      <c r="C24" s="11"/>
      <c r="D24" s="11"/>
      <c r="E24" s="18"/>
      <c r="F24" s="11"/>
      <c r="G24" s="11"/>
      <c r="H24" s="11"/>
      <c r="I24" s="16"/>
      <c r="J24" s="11"/>
      <c r="K24" s="34"/>
      <c r="L24" s="34"/>
      <c r="M24" s="40"/>
      <c r="N24" s="41" t="str">
        <f aca="false">IF(A24="","",IF(G24="Compliance","High",IF(AND(K24="",L24="",M24=""),"To assess",IF(OR(N(K24)&gt;=Cover!$C$27,N(L24)&gt;=Cover!$D$27,N(M24)&gt;=Cover!$E$27),"High",IF(OR(N(K24)&gt;=Cover!$C$28,N(L24)&gt;=Cover!$D$28,N(M24)&gt;=Cover!$E$28),"Medium","Low")))))</f>
        <v/>
      </c>
      <c r="O24" s="41" t="str">
        <f aca="false">IF(N24="","",IF(N24="High",Cover!$F$27,IF(N24="Medium",Cover!$F$28,Cover!$F$29)))</f>
        <v/>
      </c>
      <c r="P24" s="11"/>
      <c r="Q24" s="11"/>
      <c r="R24" s="11"/>
      <c r="S24" s="18"/>
      <c r="T24" s="16"/>
      <c r="U24" s="16"/>
      <c r="V24" s="11"/>
      <c r="W24" s="18"/>
      <c r="X24" s="11"/>
      <c r="Y24" s="34"/>
      <c r="Z24" s="34"/>
      <c r="AA24" s="40"/>
      <c r="AB24" s="16"/>
      <c r="AC24" s="11"/>
      <c r="AD24" s="16"/>
      <c r="AE24" s="41" t="str">
        <f aca="true">IF(OR(A24="",E24=""),"",IF(W24&lt;&gt;"",W24-E24,TODAY()-E24))</f>
        <v/>
      </c>
      <c r="AF24" s="41" t="str">
        <f aca="true">IF(AND(U24="Pending",S24&lt;&gt;""),IF(TODAY()&gt;S24,"Overdue","No"),"")</f>
        <v/>
      </c>
      <c r="AG24" s="18"/>
      <c r="AH24" s="41" t="str">
        <f aca="false">IF(AND(A24&lt;&gt;"",U24="Pending"),IF(S24="",99999,S24)+ROW()/100000,"")</f>
        <v/>
      </c>
    </row>
    <row r="25" customFormat="false" ht="19.5" hidden="false" customHeight="true" outlineLevel="0" collapsed="false">
      <c r="A25" s="16"/>
      <c r="B25" s="11"/>
      <c r="C25" s="11"/>
      <c r="D25" s="11"/>
      <c r="E25" s="18"/>
      <c r="F25" s="11"/>
      <c r="G25" s="11"/>
      <c r="H25" s="11"/>
      <c r="I25" s="16"/>
      <c r="J25" s="11"/>
      <c r="K25" s="34"/>
      <c r="L25" s="34"/>
      <c r="M25" s="40"/>
      <c r="N25" s="41" t="str">
        <f aca="false">IF(A25="","",IF(G25="Compliance","High",IF(AND(K25="",L25="",M25=""),"To assess",IF(OR(N(K25)&gt;=Cover!$C$27,N(L25)&gt;=Cover!$D$27,N(M25)&gt;=Cover!$E$27),"High",IF(OR(N(K25)&gt;=Cover!$C$28,N(L25)&gt;=Cover!$D$28,N(M25)&gt;=Cover!$E$28),"Medium","Low")))))</f>
        <v/>
      </c>
      <c r="O25" s="41" t="str">
        <f aca="false">IF(N25="","",IF(N25="High",Cover!$F$27,IF(N25="Medium",Cover!$F$28,Cover!$F$29)))</f>
        <v/>
      </c>
      <c r="P25" s="11"/>
      <c r="Q25" s="11"/>
      <c r="R25" s="11"/>
      <c r="S25" s="18"/>
      <c r="T25" s="16"/>
      <c r="U25" s="16"/>
      <c r="V25" s="11"/>
      <c r="W25" s="18"/>
      <c r="X25" s="11"/>
      <c r="Y25" s="34"/>
      <c r="Z25" s="34"/>
      <c r="AA25" s="40"/>
      <c r="AB25" s="16"/>
      <c r="AC25" s="11"/>
      <c r="AD25" s="16"/>
      <c r="AE25" s="41" t="str">
        <f aca="true">IF(OR(A25="",E25=""),"",IF(W25&lt;&gt;"",W25-E25,TODAY()-E25))</f>
        <v/>
      </c>
      <c r="AF25" s="41" t="str">
        <f aca="true">IF(AND(U25="Pending",S25&lt;&gt;""),IF(TODAY()&gt;S25,"Overdue","No"),"")</f>
        <v/>
      </c>
      <c r="AG25" s="18"/>
      <c r="AH25" s="41" t="str">
        <f aca="false">IF(AND(A25&lt;&gt;"",U25="Pending"),IF(S25="",99999,S25)+ROW()/100000,"")</f>
        <v/>
      </c>
    </row>
    <row r="26" customFormat="false" ht="19.5" hidden="false" customHeight="true" outlineLevel="0" collapsed="false">
      <c r="A26" s="16"/>
      <c r="B26" s="11"/>
      <c r="C26" s="11"/>
      <c r="D26" s="11"/>
      <c r="E26" s="18"/>
      <c r="F26" s="11"/>
      <c r="G26" s="11"/>
      <c r="H26" s="11"/>
      <c r="I26" s="16"/>
      <c r="J26" s="11"/>
      <c r="K26" s="34"/>
      <c r="L26" s="34"/>
      <c r="M26" s="40"/>
      <c r="N26" s="41" t="str">
        <f aca="false">IF(A26="","",IF(G26="Compliance","High",IF(AND(K26="",L26="",M26=""),"To assess",IF(OR(N(K26)&gt;=Cover!$C$27,N(L26)&gt;=Cover!$D$27,N(M26)&gt;=Cover!$E$27),"High",IF(OR(N(K26)&gt;=Cover!$C$28,N(L26)&gt;=Cover!$D$28,N(M26)&gt;=Cover!$E$28),"Medium","Low")))))</f>
        <v/>
      </c>
      <c r="O26" s="41" t="str">
        <f aca="false">IF(N26="","",IF(N26="High",Cover!$F$27,IF(N26="Medium",Cover!$F$28,Cover!$F$29)))</f>
        <v/>
      </c>
      <c r="P26" s="11"/>
      <c r="Q26" s="11"/>
      <c r="R26" s="11"/>
      <c r="S26" s="18"/>
      <c r="T26" s="16"/>
      <c r="U26" s="16"/>
      <c r="V26" s="11"/>
      <c r="W26" s="18"/>
      <c r="X26" s="11"/>
      <c r="Y26" s="34"/>
      <c r="Z26" s="34"/>
      <c r="AA26" s="40"/>
      <c r="AB26" s="16"/>
      <c r="AC26" s="11"/>
      <c r="AD26" s="16"/>
      <c r="AE26" s="41" t="str">
        <f aca="true">IF(OR(A26="",E26=""),"",IF(W26&lt;&gt;"",W26-E26,TODAY()-E26))</f>
        <v/>
      </c>
      <c r="AF26" s="41" t="str">
        <f aca="true">IF(AND(U26="Pending",S26&lt;&gt;""),IF(TODAY()&gt;S26,"Overdue","No"),"")</f>
        <v/>
      </c>
      <c r="AG26" s="18"/>
      <c r="AH26" s="41" t="str">
        <f aca="false">IF(AND(A26&lt;&gt;"",U26="Pending"),IF(S26="",99999,S26)+ROW()/100000,"")</f>
        <v/>
      </c>
    </row>
    <row r="27" customFormat="false" ht="19.5" hidden="false" customHeight="true" outlineLevel="0" collapsed="false">
      <c r="A27" s="16"/>
      <c r="B27" s="11"/>
      <c r="C27" s="11"/>
      <c r="D27" s="11"/>
      <c r="E27" s="18"/>
      <c r="F27" s="11"/>
      <c r="G27" s="11"/>
      <c r="H27" s="11"/>
      <c r="I27" s="16"/>
      <c r="J27" s="11"/>
      <c r="K27" s="34"/>
      <c r="L27" s="34"/>
      <c r="M27" s="40"/>
      <c r="N27" s="41" t="str">
        <f aca="false">IF(A27="","",IF(G27="Compliance","High",IF(AND(K27="",L27="",M27=""),"To assess",IF(OR(N(K27)&gt;=Cover!$C$27,N(L27)&gt;=Cover!$D$27,N(M27)&gt;=Cover!$E$27),"High",IF(OR(N(K27)&gt;=Cover!$C$28,N(L27)&gt;=Cover!$D$28,N(M27)&gt;=Cover!$E$28),"Medium","Low")))))</f>
        <v/>
      </c>
      <c r="O27" s="41" t="str">
        <f aca="false">IF(N27="","",IF(N27="High",Cover!$F$27,IF(N27="Medium",Cover!$F$28,Cover!$F$29)))</f>
        <v/>
      </c>
      <c r="P27" s="11"/>
      <c r="Q27" s="11"/>
      <c r="R27" s="11"/>
      <c r="S27" s="18"/>
      <c r="T27" s="16"/>
      <c r="U27" s="16"/>
      <c r="V27" s="11"/>
      <c r="W27" s="18"/>
      <c r="X27" s="11"/>
      <c r="Y27" s="34"/>
      <c r="Z27" s="34"/>
      <c r="AA27" s="40"/>
      <c r="AB27" s="16"/>
      <c r="AC27" s="11"/>
      <c r="AD27" s="16"/>
      <c r="AE27" s="41" t="str">
        <f aca="true">IF(OR(A27="",E27=""),"",IF(W27&lt;&gt;"",W27-E27,TODAY()-E27))</f>
        <v/>
      </c>
      <c r="AF27" s="41" t="str">
        <f aca="true">IF(AND(U27="Pending",S27&lt;&gt;""),IF(TODAY()&gt;S27,"Overdue","No"),"")</f>
        <v/>
      </c>
      <c r="AG27" s="18"/>
      <c r="AH27" s="41" t="str">
        <f aca="false">IF(AND(A27&lt;&gt;"",U27="Pending"),IF(S27="",99999,S27)+ROW()/100000,"")</f>
        <v/>
      </c>
    </row>
    <row r="28" customFormat="false" ht="19.5" hidden="false" customHeight="true" outlineLevel="0" collapsed="false">
      <c r="A28" s="16"/>
      <c r="B28" s="11"/>
      <c r="C28" s="11"/>
      <c r="D28" s="11"/>
      <c r="E28" s="18"/>
      <c r="F28" s="11"/>
      <c r="G28" s="11"/>
      <c r="H28" s="11"/>
      <c r="I28" s="16"/>
      <c r="J28" s="11"/>
      <c r="K28" s="34"/>
      <c r="L28" s="34"/>
      <c r="M28" s="40"/>
      <c r="N28" s="41" t="str">
        <f aca="false">IF(A28="","",IF(G28="Compliance","High",IF(AND(K28="",L28="",M28=""),"To assess",IF(OR(N(K28)&gt;=Cover!$C$27,N(L28)&gt;=Cover!$D$27,N(M28)&gt;=Cover!$E$27),"High",IF(OR(N(K28)&gt;=Cover!$C$28,N(L28)&gt;=Cover!$D$28,N(M28)&gt;=Cover!$E$28),"Medium","Low")))))</f>
        <v/>
      </c>
      <c r="O28" s="41" t="str">
        <f aca="false">IF(N28="","",IF(N28="High",Cover!$F$27,IF(N28="Medium",Cover!$F$28,Cover!$F$29)))</f>
        <v/>
      </c>
      <c r="P28" s="11"/>
      <c r="Q28" s="11"/>
      <c r="R28" s="11"/>
      <c r="S28" s="18"/>
      <c r="T28" s="16"/>
      <c r="U28" s="16"/>
      <c r="V28" s="11"/>
      <c r="W28" s="18"/>
      <c r="X28" s="11"/>
      <c r="Y28" s="34"/>
      <c r="Z28" s="34"/>
      <c r="AA28" s="40"/>
      <c r="AB28" s="16"/>
      <c r="AC28" s="11"/>
      <c r="AD28" s="16"/>
      <c r="AE28" s="41" t="str">
        <f aca="true">IF(OR(A28="",E28=""),"",IF(W28&lt;&gt;"",W28-E28,TODAY()-E28))</f>
        <v/>
      </c>
      <c r="AF28" s="41" t="str">
        <f aca="true">IF(AND(U28="Pending",S28&lt;&gt;""),IF(TODAY()&gt;S28,"Overdue","No"),"")</f>
        <v/>
      </c>
      <c r="AG28" s="18"/>
      <c r="AH28" s="41" t="str">
        <f aca="false">IF(AND(A28&lt;&gt;"",U28="Pending"),IF(S28="",99999,S28)+ROW()/100000,"")</f>
        <v/>
      </c>
    </row>
    <row r="29" customFormat="false" ht="19.5" hidden="false" customHeight="true" outlineLevel="0" collapsed="false">
      <c r="A29" s="16"/>
      <c r="B29" s="11"/>
      <c r="C29" s="11"/>
      <c r="D29" s="11"/>
      <c r="E29" s="18"/>
      <c r="F29" s="11"/>
      <c r="G29" s="11"/>
      <c r="H29" s="11"/>
      <c r="I29" s="16"/>
      <c r="J29" s="11"/>
      <c r="K29" s="34"/>
      <c r="L29" s="34"/>
      <c r="M29" s="40"/>
      <c r="N29" s="41" t="str">
        <f aca="false">IF(A29="","",IF(G29="Compliance","High",IF(AND(K29="",L29="",M29=""),"To assess",IF(OR(N(K29)&gt;=Cover!$C$27,N(L29)&gt;=Cover!$D$27,N(M29)&gt;=Cover!$E$27),"High",IF(OR(N(K29)&gt;=Cover!$C$28,N(L29)&gt;=Cover!$D$28,N(M29)&gt;=Cover!$E$28),"Medium","Low")))))</f>
        <v/>
      </c>
      <c r="O29" s="41" t="str">
        <f aca="false">IF(N29="","",IF(N29="High",Cover!$F$27,IF(N29="Medium",Cover!$F$28,Cover!$F$29)))</f>
        <v/>
      </c>
      <c r="P29" s="11"/>
      <c r="Q29" s="11"/>
      <c r="R29" s="11"/>
      <c r="S29" s="18"/>
      <c r="T29" s="16"/>
      <c r="U29" s="16"/>
      <c r="V29" s="11"/>
      <c r="W29" s="18"/>
      <c r="X29" s="11"/>
      <c r="Y29" s="34"/>
      <c r="Z29" s="34"/>
      <c r="AA29" s="40"/>
      <c r="AB29" s="16"/>
      <c r="AC29" s="11"/>
      <c r="AD29" s="16"/>
      <c r="AE29" s="41" t="str">
        <f aca="true">IF(OR(A29="",E29=""),"",IF(W29&lt;&gt;"",W29-E29,TODAY()-E29))</f>
        <v/>
      </c>
      <c r="AF29" s="41" t="str">
        <f aca="true">IF(AND(U29="Pending",S29&lt;&gt;""),IF(TODAY()&gt;S29,"Overdue","No"),"")</f>
        <v/>
      </c>
      <c r="AG29" s="18"/>
      <c r="AH29" s="41" t="str">
        <f aca="false">IF(AND(A29&lt;&gt;"",U29="Pending"),IF(S29="",99999,S29)+ROW()/100000,"")</f>
        <v/>
      </c>
    </row>
    <row r="30" customFormat="false" ht="19.5" hidden="false" customHeight="true" outlineLevel="0" collapsed="false">
      <c r="A30" s="16"/>
      <c r="B30" s="11"/>
      <c r="C30" s="11"/>
      <c r="D30" s="11"/>
      <c r="E30" s="18"/>
      <c r="F30" s="11"/>
      <c r="G30" s="11"/>
      <c r="H30" s="11"/>
      <c r="I30" s="16"/>
      <c r="J30" s="11"/>
      <c r="K30" s="34"/>
      <c r="L30" s="34"/>
      <c r="M30" s="40"/>
      <c r="N30" s="41" t="str">
        <f aca="false">IF(A30="","",IF(G30="Compliance","High",IF(AND(K30="",L30="",M30=""),"To assess",IF(OR(N(K30)&gt;=Cover!$C$27,N(L30)&gt;=Cover!$D$27,N(M30)&gt;=Cover!$E$27),"High",IF(OR(N(K30)&gt;=Cover!$C$28,N(L30)&gt;=Cover!$D$28,N(M30)&gt;=Cover!$E$28),"Medium","Low")))))</f>
        <v/>
      </c>
      <c r="O30" s="41" t="str">
        <f aca="false">IF(N30="","",IF(N30="High",Cover!$F$27,IF(N30="Medium",Cover!$F$28,Cover!$F$29)))</f>
        <v/>
      </c>
      <c r="P30" s="11"/>
      <c r="Q30" s="11"/>
      <c r="R30" s="11"/>
      <c r="S30" s="18"/>
      <c r="T30" s="16"/>
      <c r="U30" s="16"/>
      <c r="V30" s="11"/>
      <c r="W30" s="18"/>
      <c r="X30" s="11"/>
      <c r="Y30" s="34"/>
      <c r="Z30" s="34"/>
      <c r="AA30" s="40"/>
      <c r="AB30" s="16"/>
      <c r="AC30" s="11"/>
      <c r="AD30" s="16"/>
      <c r="AE30" s="41" t="str">
        <f aca="true">IF(OR(A30="",E30=""),"",IF(W30&lt;&gt;"",W30-E30,TODAY()-E30))</f>
        <v/>
      </c>
      <c r="AF30" s="41" t="str">
        <f aca="true">IF(AND(U30="Pending",S30&lt;&gt;""),IF(TODAY()&gt;S30,"Overdue","No"),"")</f>
        <v/>
      </c>
      <c r="AG30" s="18"/>
      <c r="AH30" s="41" t="str">
        <f aca="false">IF(AND(A30&lt;&gt;"",U30="Pending"),IF(S30="",99999,S30)+ROW()/100000,"")</f>
        <v/>
      </c>
    </row>
    <row r="31" customFormat="false" ht="19.5" hidden="false" customHeight="true" outlineLevel="0" collapsed="false">
      <c r="A31" s="16"/>
      <c r="B31" s="11"/>
      <c r="C31" s="11"/>
      <c r="D31" s="11"/>
      <c r="E31" s="18"/>
      <c r="F31" s="11"/>
      <c r="G31" s="11"/>
      <c r="H31" s="11"/>
      <c r="I31" s="16"/>
      <c r="J31" s="11"/>
      <c r="K31" s="34"/>
      <c r="L31" s="34"/>
      <c r="M31" s="40"/>
      <c r="N31" s="41" t="str">
        <f aca="false">IF(A31="","",IF(G31="Compliance","High",IF(AND(K31="",L31="",M31=""),"To assess",IF(OR(N(K31)&gt;=Cover!$C$27,N(L31)&gt;=Cover!$D$27,N(M31)&gt;=Cover!$E$27),"High",IF(OR(N(K31)&gt;=Cover!$C$28,N(L31)&gt;=Cover!$D$28,N(M31)&gt;=Cover!$E$28),"Medium","Low")))))</f>
        <v/>
      </c>
      <c r="O31" s="41" t="str">
        <f aca="false">IF(N31="","",IF(N31="High",Cover!$F$27,IF(N31="Medium",Cover!$F$28,Cover!$F$29)))</f>
        <v/>
      </c>
      <c r="P31" s="11"/>
      <c r="Q31" s="11"/>
      <c r="R31" s="11"/>
      <c r="S31" s="18"/>
      <c r="T31" s="16"/>
      <c r="U31" s="16"/>
      <c r="V31" s="11"/>
      <c r="W31" s="18"/>
      <c r="X31" s="11"/>
      <c r="Y31" s="34"/>
      <c r="Z31" s="34"/>
      <c r="AA31" s="40"/>
      <c r="AB31" s="16"/>
      <c r="AC31" s="11"/>
      <c r="AD31" s="16"/>
      <c r="AE31" s="41" t="str">
        <f aca="true">IF(OR(A31="",E31=""),"",IF(W31&lt;&gt;"",W31-E31,TODAY()-E31))</f>
        <v/>
      </c>
      <c r="AF31" s="41" t="str">
        <f aca="true">IF(AND(U31="Pending",S31&lt;&gt;""),IF(TODAY()&gt;S31,"Overdue","No"),"")</f>
        <v/>
      </c>
      <c r="AG31" s="18"/>
      <c r="AH31" s="41" t="str">
        <f aca="false">IF(AND(A31&lt;&gt;"",U31="Pending"),IF(S31="",99999,S31)+ROW()/100000,"")</f>
        <v/>
      </c>
    </row>
    <row r="32" customFormat="false" ht="19.5" hidden="false" customHeight="true" outlineLevel="0" collapsed="false">
      <c r="A32" s="16"/>
      <c r="B32" s="11"/>
      <c r="C32" s="11"/>
      <c r="D32" s="11"/>
      <c r="E32" s="18"/>
      <c r="F32" s="11"/>
      <c r="G32" s="11"/>
      <c r="H32" s="11"/>
      <c r="I32" s="16"/>
      <c r="J32" s="11"/>
      <c r="K32" s="34"/>
      <c r="L32" s="34"/>
      <c r="M32" s="40"/>
      <c r="N32" s="41" t="str">
        <f aca="false">IF(A32="","",IF(G32="Compliance","High",IF(AND(K32="",L32="",M32=""),"To assess",IF(OR(N(K32)&gt;=Cover!$C$27,N(L32)&gt;=Cover!$D$27,N(M32)&gt;=Cover!$E$27),"High",IF(OR(N(K32)&gt;=Cover!$C$28,N(L32)&gt;=Cover!$D$28,N(M32)&gt;=Cover!$E$28),"Medium","Low")))))</f>
        <v/>
      </c>
      <c r="O32" s="41" t="str">
        <f aca="false">IF(N32="","",IF(N32="High",Cover!$F$27,IF(N32="Medium",Cover!$F$28,Cover!$F$29)))</f>
        <v/>
      </c>
      <c r="P32" s="11"/>
      <c r="Q32" s="11"/>
      <c r="R32" s="11"/>
      <c r="S32" s="18"/>
      <c r="T32" s="16"/>
      <c r="U32" s="16"/>
      <c r="V32" s="11"/>
      <c r="W32" s="18"/>
      <c r="X32" s="11"/>
      <c r="Y32" s="34"/>
      <c r="Z32" s="34"/>
      <c r="AA32" s="40"/>
      <c r="AB32" s="16"/>
      <c r="AC32" s="11"/>
      <c r="AD32" s="16"/>
      <c r="AE32" s="41" t="str">
        <f aca="true">IF(OR(A32="",E32=""),"",IF(W32&lt;&gt;"",W32-E32,TODAY()-E32))</f>
        <v/>
      </c>
      <c r="AF32" s="41" t="str">
        <f aca="true">IF(AND(U32="Pending",S32&lt;&gt;""),IF(TODAY()&gt;S32,"Overdue","No"),"")</f>
        <v/>
      </c>
      <c r="AG32" s="18"/>
      <c r="AH32" s="41" t="str">
        <f aca="false">IF(AND(A32&lt;&gt;"",U32="Pending"),IF(S32="",99999,S32)+ROW()/100000,"")</f>
        <v/>
      </c>
    </row>
    <row r="33" customFormat="false" ht="19.5" hidden="false" customHeight="true" outlineLevel="0" collapsed="false">
      <c r="A33" s="16"/>
      <c r="B33" s="11"/>
      <c r="C33" s="11"/>
      <c r="D33" s="11"/>
      <c r="E33" s="18"/>
      <c r="F33" s="11"/>
      <c r="G33" s="11"/>
      <c r="H33" s="11"/>
      <c r="I33" s="16"/>
      <c r="J33" s="11"/>
      <c r="K33" s="34"/>
      <c r="L33" s="34"/>
      <c r="M33" s="40"/>
      <c r="N33" s="41" t="str">
        <f aca="false">IF(A33="","",IF(G33="Compliance","High",IF(AND(K33="",L33="",M33=""),"To assess",IF(OR(N(K33)&gt;=Cover!$C$27,N(L33)&gt;=Cover!$D$27,N(M33)&gt;=Cover!$E$27),"High",IF(OR(N(K33)&gt;=Cover!$C$28,N(L33)&gt;=Cover!$D$28,N(M33)&gt;=Cover!$E$28),"Medium","Low")))))</f>
        <v/>
      </c>
      <c r="O33" s="41" t="str">
        <f aca="false">IF(N33="","",IF(N33="High",Cover!$F$27,IF(N33="Medium",Cover!$F$28,Cover!$F$29)))</f>
        <v/>
      </c>
      <c r="P33" s="11"/>
      <c r="Q33" s="11"/>
      <c r="R33" s="11"/>
      <c r="S33" s="18"/>
      <c r="T33" s="16"/>
      <c r="U33" s="16"/>
      <c r="V33" s="11"/>
      <c r="W33" s="18"/>
      <c r="X33" s="11"/>
      <c r="Y33" s="34"/>
      <c r="Z33" s="34"/>
      <c r="AA33" s="40"/>
      <c r="AB33" s="16"/>
      <c r="AC33" s="11"/>
      <c r="AD33" s="16"/>
      <c r="AE33" s="41" t="str">
        <f aca="true">IF(OR(A33="",E33=""),"",IF(W33&lt;&gt;"",W33-E33,TODAY()-E33))</f>
        <v/>
      </c>
      <c r="AF33" s="41" t="str">
        <f aca="true">IF(AND(U33="Pending",S33&lt;&gt;""),IF(TODAY()&gt;S33,"Overdue","No"),"")</f>
        <v/>
      </c>
      <c r="AG33" s="18"/>
      <c r="AH33" s="41" t="str">
        <f aca="false">IF(AND(A33&lt;&gt;"",U33="Pending"),IF(S33="",99999,S33)+ROW()/100000,"")</f>
        <v/>
      </c>
    </row>
    <row r="34" customFormat="false" ht="19.5" hidden="false" customHeight="true" outlineLevel="0" collapsed="false">
      <c r="A34" s="16"/>
      <c r="B34" s="11"/>
      <c r="C34" s="11"/>
      <c r="D34" s="11"/>
      <c r="E34" s="18"/>
      <c r="F34" s="11"/>
      <c r="G34" s="11"/>
      <c r="H34" s="11"/>
      <c r="I34" s="16"/>
      <c r="J34" s="11"/>
      <c r="K34" s="34"/>
      <c r="L34" s="34"/>
      <c r="M34" s="40"/>
      <c r="N34" s="41" t="str">
        <f aca="false">IF(A34="","",IF(G34="Compliance","High",IF(AND(K34="",L34="",M34=""),"To assess",IF(OR(N(K34)&gt;=Cover!$C$27,N(L34)&gt;=Cover!$D$27,N(M34)&gt;=Cover!$E$27),"High",IF(OR(N(K34)&gt;=Cover!$C$28,N(L34)&gt;=Cover!$D$28,N(M34)&gt;=Cover!$E$28),"Medium","Low")))))</f>
        <v/>
      </c>
      <c r="O34" s="41" t="str">
        <f aca="false">IF(N34="","",IF(N34="High",Cover!$F$27,IF(N34="Medium",Cover!$F$28,Cover!$F$29)))</f>
        <v/>
      </c>
      <c r="P34" s="11"/>
      <c r="Q34" s="11"/>
      <c r="R34" s="11"/>
      <c r="S34" s="18"/>
      <c r="T34" s="16"/>
      <c r="U34" s="16"/>
      <c r="V34" s="11"/>
      <c r="W34" s="18"/>
      <c r="X34" s="11"/>
      <c r="Y34" s="34"/>
      <c r="Z34" s="34"/>
      <c r="AA34" s="40"/>
      <c r="AB34" s="16"/>
      <c r="AC34" s="11"/>
      <c r="AD34" s="16"/>
      <c r="AE34" s="41" t="str">
        <f aca="true">IF(OR(A34="",E34=""),"",IF(W34&lt;&gt;"",W34-E34,TODAY()-E34))</f>
        <v/>
      </c>
      <c r="AF34" s="41" t="str">
        <f aca="true">IF(AND(U34="Pending",S34&lt;&gt;""),IF(TODAY()&gt;S34,"Overdue","No"),"")</f>
        <v/>
      </c>
      <c r="AG34" s="18"/>
      <c r="AH34" s="41" t="str">
        <f aca="false">IF(AND(A34&lt;&gt;"",U34="Pending"),IF(S34="",99999,S34)+ROW()/100000,"")</f>
        <v/>
      </c>
    </row>
    <row r="35" customFormat="false" ht="19.5" hidden="false" customHeight="true" outlineLevel="0" collapsed="false">
      <c r="A35" s="16"/>
      <c r="B35" s="11"/>
      <c r="C35" s="11"/>
      <c r="D35" s="11"/>
      <c r="E35" s="18"/>
      <c r="F35" s="11"/>
      <c r="G35" s="11"/>
      <c r="H35" s="11"/>
      <c r="I35" s="16"/>
      <c r="J35" s="11"/>
      <c r="K35" s="34"/>
      <c r="L35" s="34"/>
      <c r="M35" s="40"/>
      <c r="N35" s="41" t="str">
        <f aca="false">IF(A35="","",IF(G35="Compliance","High",IF(AND(K35="",L35="",M35=""),"To assess",IF(OR(N(K35)&gt;=Cover!$C$27,N(L35)&gt;=Cover!$D$27,N(M35)&gt;=Cover!$E$27),"High",IF(OR(N(K35)&gt;=Cover!$C$28,N(L35)&gt;=Cover!$D$28,N(M35)&gt;=Cover!$E$28),"Medium","Low")))))</f>
        <v/>
      </c>
      <c r="O35" s="41" t="str">
        <f aca="false">IF(N35="","",IF(N35="High",Cover!$F$27,IF(N35="Medium",Cover!$F$28,Cover!$F$29)))</f>
        <v/>
      </c>
      <c r="P35" s="11"/>
      <c r="Q35" s="11"/>
      <c r="R35" s="11"/>
      <c r="S35" s="18"/>
      <c r="T35" s="16"/>
      <c r="U35" s="16"/>
      <c r="V35" s="11"/>
      <c r="W35" s="18"/>
      <c r="X35" s="11"/>
      <c r="Y35" s="34"/>
      <c r="Z35" s="34"/>
      <c r="AA35" s="40"/>
      <c r="AB35" s="16"/>
      <c r="AC35" s="11"/>
      <c r="AD35" s="16"/>
      <c r="AE35" s="41" t="str">
        <f aca="true">IF(OR(A35="",E35=""),"",IF(W35&lt;&gt;"",W35-E35,TODAY()-E35))</f>
        <v/>
      </c>
      <c r="AF35" s="41" t="str">
        <f aca="true">IF(AND(U35="Pending",S35&lt;&gt;""),IF(TODAY()&gt;S35,"Overdue","No"),"")</f>
        <v/>
      </c>
      <c r="AG35" s="18"/>
      <c r="AH35" s="41" t="str">
        <f aca="false">IF(AND(A35&lt;&gt;"",U35="Pending"),IF(S35="",99999,S35)+ROW()/100000,"")</f>
        <v/>
      </c>
    </row>
    <row r="36" customFormat="false" ht="19.5" hidden="false" customHeight="true" outlineLevel="0" collapsed="false">
      <c r="A36" s="16"/>
      <c r="B36" s="11"/>
      <c r="C36" s="11"/>
      <c r="D36" s="11"/>
      <c r="E36" s="18"/>
      <c r="F36" s="11"/>
      <c r="G36" s="11"/>
      <c r="H36" s="11"/>
      <c r="I36" s="16"/>
      <c r="J36" s="11"/>
      <c r="K36" s="34"/>
      <c r="L36" s="34"/>
      <c r="M36" s="40"/>
      <c r="N36" s="41" t="str">
        <f aca="false">IF(A36="","",IF(G36="Compliance","High",IF(AND(K36="",L36="",M36=""),"To assess",IF(OR(N(K36)&gt;=Cover!$C$27,N(L36)&gt;=Cover!$D$27,N(M36)&gt;=Cover!$E$27),"High",IF(OR(N(K36)&gt;=Cover!$C$28,N(L36)&gt;=Cover!$D$28,N(M36)&gt;=Cover!$E$28),"Medium","Low")))))</f>
        <v/>
      </c>
      <c r="O36" s="41" t="str">
        <f aca="false">IF(N36="","",IF(N36="High",Cover!$F$27,IF(N36="Medium",Cover!$F$28,Cover!$F$29)))</f>
        <v/>
      </c>
      <c r="P36" s="11"/>
      <c r="Q36" s="11"/>
      <c r="R36" s="11"/>
      <c r="S36" s="18"/>
      <c r="T36" s="16"/>
      <c r="U36" s="16"/>
      <c r="V36" s="11"/>
      <c r="W36" s="18"/>
      <c r="X36" s="11"/>
      <c r="Y36" s="34"/>
      <c r="Z36" s="34"/>
      <c r="AA36" s="40"/>
      <c r="AB36" s="16"/>
      <c r="AC36" s="11"/>
      <c r="AD36" s="16"/>
      <c r="AE36" s="41" t="str">
        <f aca="true">IF(OR(A36="",E36=""),"",IF(W36&lt;&gt;"",W36-E36,TODAY()-E36))</f>
        <v/>
      </c>
      <c r="AF36" s="41" t="str">
        <f aca="true">IF(AND(U36="Pending",S36&lt;&gt;""),IF(TODAY()&gt;S36,"Overdue","No"),"")</f>
        <v/>
      </c>
      <c r="AG36" s="18"/>
      <c r="AH36" s="41" t="str">
        <f aca="false">IF(AND(A36&lt;&gt;"",U36="Pending"),IF(S36="",99999,S36)+ROW()/100000,"")</f>
        <v/>
      </c>
    </row>
    <row r="37" customFormat="false" ht="19.5" hidden="false" customHeight="true" outlineLevel="0" collapsed="false">
      <c r="A37" s="16"/>
      <c r="B37" s="11"/>
      <c r="C37" s="11"/>
      <c r="D37" s="11"/>
      <c r="E37" s="18"/>
      <c r="F37" s="11"/>
      <c r="G37" s="11"/>
      <c r="H37" s="11"/>
      <c r="I37" s="16"/>
      <c r="J37" s="11"/>
      <c r="K37" s="34"/>
      <c r="L37" s="34"/>
      <c r="M37" s="40"/>
      <c r="N37" s="41" t="str">
        <f aca="false">IF(A37="","",IF(G37="Compliance","High",IF(AND(K37="",L37="",M37=""),"To assess",IF(OR(N(K37)&gt;=Cover!$C$27,N(L37)&gt;=Cover!$D$27,N(M37)&gt;=Cover!$E$27),"High",IF(OR(N(K37)&gt;=Cover!$C$28,N(L37)&gt;=Cover!$D$28,N(M37)&gt;=Cover!$E$28),"Medium","Low")))))</f>
        <v/>
      </c>
      <c r="O37" s="41" t="str">
        <f aca="false">IF(N37="","",IF(N37="High",Cover!$F$27,IF(N37="Medium",Cover!$F$28,Cover!$F$29)))</f>
        <v/>
      </c>
      <c r="P37" s="11"/>
      <c r="Q37" s="11"/>
      <c r="R37" s="11"/>
      <c r="S37" s="18"/>
      <c r="T37" s="16"/>
      <c r="U37" s="16"/>
      <c r="V37" s="11"/>
      <c r="W37" s="18"/>
      <c r="X37" s="11"/>
      <c r="Y37" s="34"/>
      <c r="Z37" s="34"/>
      <c r="AA37" s="40"/>
      <c r="AB37" s="16"/>
      <c r="AC37" s="11"/>
      <c r="AD37" s="16"/>
      <c r="AE37" s="41" t="str">
        <f aca="true">IF(OR(A37="",E37=""),"",IF(W37&lt;&gt;"",W37-E37,TODAY()-E37))</f>
        <v/>
      </c>
      <c r="AF37" s="41" t="str">
        <f aca="true">IF(AND(U37="Pending",S37&lt;&gt;""),IF(TODAY()&gt;S37,"Overdue","No"),"")</f>
        <v/>
      </c>
      <c r="AG37" s="18"/>
      <c r="AH37" s="41" t="str">
        <f aca="false">IF(AND(A37&lt;&gt;"",U37="Pending"),IF(S37="",99999,S37)+ROW()/100000,"")</f>
        <v/>
      </c>
    </row>
    <row r="38" customFormat="false" ht="19.5" hidden="false" customHeight="true" outlineLevel="0" collapsed="false">
      <c r="A38" s="16"/>
      <c r="B38" s="11"/>
      <c r="C38" s="11"/>
      <c r="D38" s="11"/>
      <c r="E38" s="18"/>
      <c r="F38" s="11"/>
      <c r="G38" s="11"/>
      <c r="H38" s="11"/>
      <c r="I38" s="16"/>
      <c r="J38" s="11"/>
      <c r="K38" s="34"/>
      <c r="L38" s="34"/>
      <c r="M38" s="40"/>
      <c r="N38" s="41" t="str">
        <f aca="false">IF(A38="","",IF(G38="Compliance","High",IF(AND(K38="",L38="",M38=""),"To assess",IF(OR(N(K38)&gt;=Cover!$C$27,N(L38)&gt;=Cover!$D$27,N(M38)&gt;=Cover!$E$27),"High",IF(OR(N(K38)&gt;=Cover!$C$28,N(L38)&gt;=Cover!$D$28,N(M38)&gt;=Cover!$E$28),"Medium","Low")))))</f>
        <v/>
      </c>
      <c r="O38" s="41" t="str">
        <f aca="false">IF(N38="","",IF(N38="High",Cover!$F$27,IF(N38="Medium",Cover!$F$28,Cover!$F$29)))</f>
        <v/>
      </c>
      <c r="P38" s="11"/>
      <c r="Q38" s="11"/>
      <c r="R38" s="11"/>
      <c r="S38" s="18"/>
      <c r="T38" s="16"/>
      <c r="U38" s="16"/>
      <c r="V38" s="11"/>
      <c r="W38" s="18"/>
      <c r="X38" s="11"/>
      <c r="Y38" s="34"/>
      <c r="Z38" s="34"/>
      <c r="AA38" s="40"/>
      <c r="AB38" s="16"/>
      <c r="AC38" s="11"/>
      <c r="AD38" s="16"/>
      <c r="AE38" s="41" t="str">
        <f aca="true">IF(OR(A38="",E38=""),"",IF(W38&lt;&gt;"",W38-E38,TODAY()-E38))</f>
        <v/>
      </c>
      <c r="AF38" s="41" t="str">
        <f aca="true">IF(AND(U38="Pending",S38&lt;&gt;""),IF(TODAY()&gt;S38,"Overdue","No"),"")</f>
        <v/>
      </c>
      <c r="AG38" s="18"/>
      <c r="AH38" s="41" t="str">
        <f aca="false">IF(AND(A38&lt;&gt;"",U38="Pending"),IF(S38="",99999,S38)+ROW()/100000,"")</f>
        <v/>
      </c>
    </row>
    <row r="39" customFormat="false" ht="19.5" hidden="false" customHeight="true" outlineLevel="0" collapsed="false">
      <c r="A39" s="16"/>
      <c r="B39" s="11"/>
      <c r="C39" s="11"/>
      <c r="D39" s="11"/>
      <c r="E39" s="18"/>
      <c r="F39" s="11"/>
      <c r="G39" s="11"/>
      <c r="H39" s="11"/>
      <c r="I39" s="16"/>
      <c r="J39" s="11"/>
      <c r="K39" s="34"/>
      <c r="L39" s="34"/>
      <c r="M39" s="40"/>
      <c r="N39" s="41" t="str">
        <f aca="false">IF(A39="","",IF(G39="Compliance","High",IF(AND(K39="",L39="",M39=""),"To assess",IF(OR(N(K39)&gt;=Cover!$C$27,N(L39)&gt;=Cover!$D$27,N(M39)&gt;=Cover!$E$27),"High",IF(OR(N(K39)&gt;=Cover!$C$28,N(L39)&gt;=Cover!$D$28,N(M39)&gt;=Cover!$E$28),"Medium","Low")))))</f>
        <v/>
      </c>
      <c r="O39" s="41" t="str">
        <f aca="false">IF(N39="","",IF(N39="High",Cover!$F$27,IF(N39="Medium",Cover!$F$28,Cover!$F$29)))</f>
        <v/>
      </c>
      <c r="P39" s="11"/>
      <c r="Q39" s="11"/>
      <c r="R39" s="11"/>
      <c r="S39" s="18"/>
      <c r="T39" s="16"/>
      <c r="U39" s="16"/>
      <c r="V39" s="11"/>
      <c r="W39" s="18"/>
      <c r="X39" s="11"/>
      <c r="Y39" s="34"/>
      <c r="Z39" s="34"/>
      <c r="AA39" s="40"/>
      <c r="AB39" s="16"/>
      <c r="AC39" s="11"/>
      <c r="AD39" s="16"/>
      <c r="AE39" s="41" t="str">
        <f aca="true">IF(OR(A39="",E39=""),"",IF(W39&lt;&gt;"",W39-E39,TODAY()-E39))</f>
        <v/>
      </c>
      <c r="AF39" s="41" t="str">
        <f aca="true">IF(AND(U39="Pending",S39&lt;&gt;""),IF(TODAY()&gt;S39,"Overdue","No"),"")</f>
        <v/>
      </c>
      <c r="AG39" s="18"/>
      <c r="AH39" s="41" t="str">
        <f aca="false">IF(AND(A39&lt;&gt;"",U39="Pending"),IF(S39="",99999,S39)+ROW()/100000,"")</f>
        <v/>
      </c>
    </row>
    <row r="40" customFormat="false" ht="19.5" hidden="false" customHeight="true" outlineLevel="0" collapsed="false">
      <c r="A40" s="16"/>
      <c r="B40" s="11"/>
      <c r="C40" s="11"/>
      <c r="D40" s="11"/>
      <c r="E40" s="18"/>
      <c r="F40" s="11"/>
      <c r="G40" s="11"/>
      <c r="H40" s="11"/>
      <c r="I40" s="16"/>
      <c r="J40" s="11"/>
      <c r="K40" s="34"/>
      <c r="L40" s="34"/>
      <c r="M40" s="40"/>
      <c r="N40" s="41" t="str">
        <f aca="false">IF(A40="","",IF(G40="Compliance","High",IF(AND(K40="",L40="",M40=""),"To assess",IF(OR(N(K40)&gt;=Cover!$C$27,N(L40)&gt;=Cover!$D$27,N(M40)&gt;=Cover!$E$27),"High",IF(OR(N(K40)&gt;=Cover!$C$28,N(L40)&gt;=Cover!$D$28,N(M40)&gt;=Cover!$E$28),"Medium","Low")))))</f>
        <v/>
      </c>
      <c r="O40" s="41" t="str">
        <f aca="false">IF(N40="","",IF(N40="High",Cover!$F$27,IF(N40="Medium",Cover!$F$28,Cover!$F$29)))</f>
        <v/>
      </c>
      <c r="P40" s="11"/>
      <c r="Q40" s="11"/>
      <c r="R40" s="11"/>
      <c r="S40" s="18"/>
      <c r="T40" s="16"/>
      <c r="U40" s="16"/>
      <c r="V40" s="11"/>
      <c r="W40" s="18"/>
      <c r="X40" s="11"/>
      <c r="Y40" s="34"/>
      <c r="Z40" s="34"/>
      <c r="AA40" s="40"/>
      <c r="AB40" s="16"/>
      <c r="AC40" s="11"/>
      <c r="AD40" s="16"/>
      <c r="AE40" s="41" t="str">
        <f aca="true">IF(OR(A40="",E40=""),"",IF(W40&lt;&gt;"",W40-E40,TODAY()-E40))</f>
        <v/>
      </c>
      <c r="AF40" s="41" t="str">
        <f aca="true">IF(AND(U40="Pending",S40&lt;&gt;""),IF(TODAY()&gt;S40,"Overdue","No"),"")</f>
        <v/>
      </c>
      <c r="AG40" s="18"/>
      <c r="AH40" s="41" t="str">
        <f aca="false">IF(AND(A40&lt;&gt;"",U40="Pending"),IF(S40="",99999,S40)+ROW()/100000,"")</f>
        <v/>
      </c>
    </row>
    <row r="41" customFormat="false" ht="19.5" hidden="false" customHeight="true" outlineLevel="0" collapsed="false">
      <c r="A41" s="16"/>
      <c r="B41" s="11"/>
      <c r="C41" s="11"/>
      <c r="D41" s="11"/>
      <c r="E41" s="18"/>
      <c r="F41" s="11"/>
      <c r="G41" s="11"/>
      <c r="H41" s="11"/>
      <c r="I41" s="16"/>
      <c r="J41" s="11"/>
      <c r="K41" s="34"/>
      <c r="L41" s="34"/>
      <c r="M41" s="40"/>
      <c r="N41" s="41" t="str">
        <f aca="false">IF(A41="","",IF(G41="Compliance","High",IF(AND(K41="",L41="",M41=""),"To assess",IF(OR(N(K41)&gt;=Cover!$C$27,N(L41)&gt;=Cover!$D$27,N(M41)&gt;=Cover!$E$27),"High",IF(OR(N(K41)&gt;=Cover!$C$28,N(L41)&gt;=Cover!$D$28,N(M41)&gt;=Cover!$E$28),"Medium","Low")))))</f>
        <v/>
      </c>
      <c r="O41" s="41" t="str">
        <f aca="false">IF(N41="","",IF(N41="High",Cover!$F$27,IF(N41="Medium",Cover!$F$28,Cover!$F$29)))</f>
        <v/>
      </c>
      <c r="P41" s="11"/>
      <c r="Q41" s="11"/>
      <c r="R41" s="11"/>
      <c r="S41" s="18"/>
      <c r="T41" s="16"/>
      <c r="U41" s="16"/>
      <c r="V41" s="11"/>
      <c r="W41" s="18"/>
      <c r="X41" s="11"/>
      <c r="Y41" s="34"/>
      <c r="Z41" s="34"/>
      <c r="AA41" s="40"/>
      <c r="AB41" s="16"/>
      <c r="AC41" s="11"/>
      <c r="AD41" s="16"/>
      <c r="AE41" s="41" t="str">
        <f aca="true">IF(OR(A41="",E41=""),"",IF(W41&lt;&gt;"",W41-E41,TODAY()-E41))</f>
        <v/>
      </c>
      <c r="AF41" s="41" t="str">
        <f aca="true">IF(AND(U41="Pending",S41&lt;&gt;""),IF(TODAY()&gt;S41,"Overdue","No"),"")</f>
        <v/>
      </c>
      <c r="AG41" s="18"/>
      <c r="AH41" s="41" t="str">
        <f aca="false">IF(AND(A41&lt;&gt;"",U41="Pending"),IF(S41="",99999,S41)+ROW()/100000,"")</f>
        <v/>
      </c>
    </row>
    <row r="42" customFormat="false" ht="19.5" hidden="false" customHeight="true" outlineLevel="0" collapsed="false">
      <c r="A42" s="16"/>
      <c r="B42" s="11"/>
      <c r="C42" s="11"/>
      <c r="D42" s="11"/>
      <c r="E42" s="18"/>
      <c r="F42" s="11"/>
      <c r="G42" s="11"/>
      <c r="H42" s="11"/>
      <c r="I42" s="16"/>
      <c r="J42" s="11"/>
      <c r="K42" s="34"/>
      <c r="L42" s="34"/>
      <c r="M42" s="40"/>
      <c r="N42" s="41" t="str">
        <f aca="false">IF(A42="","",IF(G42="Compliance","High",IF(AND(K42="",L42="",M42=""),"To assess",IF(OR(N(K42)&gt;=Cover!$C$27,N(L42)&gt;=Cover!$D$27,N(M42)&gt;=Cover!$E$27),"High",IF(OR(N(K42)&gt;=Cover!$C$28,N(L42)&gt;=Cover!$D$28,N(M42)&gt;=Cover!$E$28),"Medium","Low")))))</f>
        <v/>
      </c>
      <c r="O42" s="41" t="str">
        <f aca="false">IF(N42="","",IF(N42="High",Cover!$F$27,IF(N42="Medium",Cover!$F$28,Cover!$F$29)))</f>
        <v/>
      </c>
      <c r="P42" s="11"/>
      <c r="Q42" s="11"/>
      <c r="R42" s="11"/>
      <c r="S42" s="18"/>
      <c r="T42" s="16"/>
      <c r="U42" s="16"/>
      <c r="V42" s="11"/>
      <c r="W42" s="18"/>
      <c r="X42" s="11"/>
      <c r="Y42" s="34"/>
      <c r="Z42" s="34"/>
      <c r="AA42" s="40"/>
      <c r="AB42" s="16"/>
      <c r="AC42" s="11"/>
      <c r="AD42" s="16"/>
      <c r="AE42" s="41" t="str">
        <f aca="true">IF(OR(A42="",E42=""),"",IF(W42&lt;&gt;"",W42-E42,TODAY()-E42))</f>
        <v/>
      </c>
      <c r="AF42" s="41" t="str">
        <f aca="true">IF(AND(U42="Pending",S42&lt;&gt;""),IF(TODAY()&gt;S42,"Overdue","No"),"")</f>
        <v/>
      </c>
      <c r="AG42" s="18"/>
      <c r="AH42" s="41" t="str">
        <f aca="false">IF(AND(A42&lt;&gt;"",U42="Pending"),IF(S42="",99999,S42)+ROW()/100000,"")</f>
        <v/>
      </c>
    </row>
    <row r="43" customFormat="false" ht="19.5" hidden="false" customHeight="true" outlineLevel="0" collapsed="false">
      <c r="A43" s="16"/>
      <c r="B43" s="11"/>
      <c r="C43" s="11"/>
      <c r="D43" s="11"/>
      <c r="E43" s="18"/>
      <c r="F43" s="11"/>
      <c r="G43" s="11"/>
      <c r="H43" s="11"/>
      <c r="I43" s="16"/>
      <c r="J43" s="11"/>
      <c r="K43" s="34"/>
      <c r="L43" s="34"/>
      <c r="M43" s="40"/>
      <c r="N43" s="41" t="str">
        <f aca="false">IF(A43="","",IF(G43="Compliance","High",IF(AND(K43="",L43="",M43=""),"To assess",IF(OR(N(K43)&gt;=Cover!$C$27,N(L43)&gt;=Cover!$D$27,N(M43)&gt;=Cover!$E$27),"High",IF(OR(N(K43)&gt;=Cover!$C$28,N(L43)&gt;=Cover!$D$28,N(M43)&gt;=Cover!$E$28),"Medium","Low")))))</f>
        <v/>
      </c>
      <c r="O43" s="41" t="str">
        <f aca="false">IF(N43="","",IF(N43="High",Cover!$F$27,IF(N43="Medium",Cover!$F$28,Cover!$F$29)))</f>
        <v/>
      </c>
      <c r="P43" s="11"/>
      <c r="Q43" s="11"/>
      <c r="R43" s="11"/>
      <c r="S43" s="18"/>
      <c r="T43" s="16"/>
      <c r="U43" s="16"/>
      <c r="V43" s="11"/>
      <c r="W43" s="18"/>
      <c r="X43" s="11"/>
      <c r="Y43" s="34"/>
      <c r="Z43" s="34"/>
      <c r="AA43" s="40"/>
      <c r="AB43" s="16"/>
      <c r="AC43" s="11"/>
      <c r="AD43" s="16"/>
      <c r="AE43" s="41" t="str">
        <f aca="true">IF(OR(A43="",E43=""),"",IF(W43&lt;&gt;"",W43-E43,TODAY()-E43))</f>
        <v/>
      </c>
      <c r="AF43" s="41" t="str">
        <f aca="true">IF(AND(U43="Pending",S43&lt;&gt;""),IF(TODAY()&gt;S43,"Overdue","No"),"")</f>
        <v/>
      </c>
      <c r="AG43" s="18"/>
      <c r="AH43" s="41" t="str">
        <f aca="false">IF(AND(A43&lt;&gt;"",U43="Pending"),IF(S43="",99999,S43)+ROW()/100000,"")</f>
        <v/>
      </c>
    </row>
    <row r="44" customFormat="false" ht="19.5" hidden="false" customHeight="true" outlineLevel="0" collapsed="false">
      <c r="A44" s="16"/>
      <c r="B44" s="11"/>
      <c r="C44" s="11"/>
      <c r="D44" s="11"/>
      <c r="E44" s="18"/>
      <c r="F44" s="11"/>
      <c r="G44" s="11"/>
      <c r="H44" s="11"/>
      <c r="I44" s="16"/>
      <c r="J44" s="11"/>
      <c r="K44" s="34"/>
      <c r="L44" s="34"/>
      <c r="M44" s="40"/>
      <c r="N44" s="41" t="str">
        <f aca="false">IF(A44="","",IF(G44="Compliance","High",IF(AND(K44="",L44="",M44=""),"To assess",IF(OR(N(K44)&gt;=Cover!$C$27,N(L44)&gt;=Cover!$D$27,N(M44)&gt;=Cover!$E$27),"High",IF(OR(N(K44)&gt;=Cover!$C$28,N(L44)&gt;=Cover!$D$28,N(M44)&gt;=Cover!$E$28),"Medium","Low")))))</f>
        <v/>
      </c>
      <c r="O44" s="41" t="str">
        <f aca="false">IF(N44="","",IF(N44="High",Cover!$F$27,IF(N44="Medium",Cover!$F$28,Cover!$F$29)))</f>
        <v/>
      </c>
      <c r="P44" s="11"/>
      <c r="Q44" s="11"/>
      <c r="R44" s="11"/>
      <c r="S44" s="18"/>
      <c r="T44" s="16"/>
      <c r="U44" s="16"/>
      <c r="V44" s="11"/>
      <c r="W44" s="18"/>
      <c r="X44" s="11"/>
      <c r="Y44" s="34"/>
      <c r="Z44" s="34"/>
      <c r="AA44" s="40"/>
      <c r="AB44" s="16"/>
      <c r="AC44" s="11"/>
      <c r="AD44" s="16"/>
      <c r="AE44" s="41" t="str">
        <f aca="true">IF(OR(A44="",E44=""),"",IF(W44&lt;&gt;"",W44-E44,TODAY()-E44))</f>
        <v/>
      </c>
      <c r="AF44" s="41" t="str">
        <f aca="true">IF(AND(U44="Pending",S44&lt;&gt;""),IF(TODAY()&gt;S44,"Overdue","No"),"")</f>
        <v/>
      </c>
      <c r="AG44" s="18"/>
      <c r="AH44" s="41" t="str">
        <f aca="false">IF(AND(A44&lt;&gt;"",U44="Pending"),IF(S44="",99999,S44)+ROW()/100000,"")</f>
        <v/>
      </c>
    </row>
    <row r="45" customFormat="false" ht="19.5" hidden="false" customHeight="true" outlineLevel="0" collapsed="false">
      <c r="A45" s="16"/>
      <c r="B45" s="11"/>
      <c r="C45" s="11"/>
      <c r="D45" s="11"/>
      <c r="E45" s="18"/>
      <c r="F45" s="11"/>
      <c r="G45" s="11"/>
      <c r="H45" s="11"/>
      <c r="I45" s="16"/>
      <c r="J45" s="11"/>
      <c r="K45" s="34"/>
      <c r="L45" s="34"/>
      <c r="M45" s="40"/>
      <c r="N45" s="41" t="str">
        <f aca="false">IF(A45="","",IF(G45="Compliance","High",IF(AND(K45="",L45="",M45=""),"To assess",IF(OR(N(K45)&gt;=Cover!$C$27,N(L45)&gt;=Cover!$D$27,N(M45)&gt;=Cover!$E$27),"High",IF(OR(N(K45)&gt;=Cover!$C$28,N(L45)&gt;=Cover!$D$28,N(M45)&gt;=Cover!$E$28),"Medium","Low")))))</f>
        <v/>
      </c>
      <c r="O45" s="41" t="str">
        <f aca="false">IF(N45="","",IF(N45="High",Cover!$F$27,IF(N45="Medium",Cover!$F$28,Cover!$F$29)))</f>
        <v/>
      </c>
      <c r="P45" s="11"/>
      <c r="Q45" s="11"/>
      <c r="R45" s="11"/>
      <c r="S45" s="18"/>
      <c r="T45" s="16"/>
      <c r="U45" s="16"/>
      <c r="V45" s="11"/>
      <c r="W45" s="18"/>
      <c r="X45" s="11"/>
      <c r="Y45" s="34"/>
      <c r="Z45" s="34"/>
      <c r="AA45" s="40"/>
      <c r="AB45" s="16"/>
      <c r="AC45" s="11"/>
      <c r="AD45" s="16"/>
      <c r="AE45" s="41" t="str">
        <f aca="true">IF(OR(A45="",E45=""),"",IF(W45&lt;&gt;"",W45-E45,TODAY()-E45))</f>
        <v/>
      </c>
      <c r="AF45" s="41" t="str">
        <f aca="true">IF(AND(U45="Pending",S45&lt;&gt;""),IF(TODAY()&gt;S45,"Overdue","No"),"")</f>
        <v/>
      </c>
      <c r="AG45" s="18"/>
      <c r="AH45" s="41" t="str">
        <f aca="false">IF(AND(A45&lt;&gt;"",U45="Pending"),IF(S45="",99999,S45)+ROW()/100000,"")</f>
        <v/>
      </c>
    </row>
    <row r="46" customFormat="false" ht="19.5" hidden="false" customHeight="true" outlineLevel="0" collapsed="false">
      <c r="A46" s="16"/>
      <c r="B46" s="11"/>
      <c r="C46" s="11"/>
      <c r="D46" s="11"/>
      <c r="E46" s="18"/>
      <c r="F46" s="11"/>
      <c r="G46" s="11"/>
      <c r="H46" s="11"/>
      <c r="I46" s="16"/>
      <c r="J46" s="11"/>
      <c r="K46" s="34"/>
      <c r="L46" s="34"/>
      <c r="M46" s="40"/>
      <c r="N46" s="41" t="str">
        <f aca="false">IF(A46="","",IF(G46="Compliance","High",IF(AND(K46="",L46="",M46=""),"To assess",IF(OR(N(K46)&gt;=Cover!$C$27,N(L46)&gt;=Cover!$D$27,N(M46)&gt;=Cover!$E$27),"High",IF(OR(N(K46)&gt;=Cover!$C$28,N(L46)&gt;=Cover!$D$28,N(M46)&gt;=Cover!$E$28),"Medium","Low")))))</f>
        <v/>
      </c>
      <c r="O46" s="41" t="str">
        <f aca="false">IF(N46="","",IF(N46="High",Cover!$F$27,IF(N46="Medium",Cover!$F$28,Cover!$F$29)))</f>
        <v/>
      </c>
      <c r="P46" s="11"/>
      <c r="Q46" s="11"/>
      <c r="R46" s="11"/>
      <c r="S46" s="18"/>
      <c r="T46" s="16"/>
      <c r="U46" s="16"/>
      <c r="V46" s="11"/>
      <c r="W46" s="18"/>
      <c r="X46" s="11"/>
      <c r="Y46" s="34"/>
      <c r="Z46" s="34"/>
      <c r="AA46" s="40"/>
      <c r="AB46" s="16"/>
      <c r="AC46" s="11"/>
      <c r="AD46" s="16"/>
      <c r="AE46" s="41" t="str">
        <f aca="true">IF(OR(A46="",E46=""),"",IF(W46&lt;&gt;"",W46-E46,TODAY()-E46))</f>
        <v/>
      </c>
      <c r="AF46" s="41" t="str">
        <f aca="true">IF(AND(U46="Pending",S46&lt;&gt;""),IF(TODAY()&gt;S46,"Overdue","No"),"")</f>
        <v/>
      </c>
      <c r="AG46" s="18"/>
      <c r="AH46" s="41" t="str">
        <f aca="false">IF(AND(A46&lt;&gt;"",U46="Pending"),IF(S46="",99999,S46)+ROW()/100000,"")</f>
        <v/>
      </c>
    </row>
    <row r="47" customFormat="false" ht="19.5" hidden="false" customHeight="true" outlineLevel="0" collapsed="false">
      <c r="A47" s="16"/>
      <c r="B47" s="11"/>
      <c r="C47" s="11"/>
      <c r="D47" s="11"/>
      <c r="E47" s="18"/>
      <c r="F47" s="11"/>
      <c r="G47" s="11"/>
      <c r="H47" s="11"/>
      <c r="I47" s="16"/>
      <c r="J47" s="11"/>
      <c r="K47" s="34"/>
      <c r="L47" s="34"/>
      <c r="M47" s="40"/>
      <c r="N47" s="41" t="str">
        <f aca="false">IF(A47="","",IF(G47="Compliance","High",IF(AND(K47="",L47="",M47=""),"To assess",IF(OR(N(K47)&gt;=Cover!$C$27,N(L47)&gt;=Cover!$D$27,N(M47)&gt;=Cover!$E$27),"High",IF(OR(N(K47)&gt;=Cover!$C$28,N(L47)&gt;=Cover!$D$28,N(M47)&gt;=Cover!$E$28),"Medium","Low")))))</f>
        <v/>
      </c>
      <c r="O47" s="41" t="str">
        <f aca="false">IF(N47="","",IF(N47="High",Cover!$F$27,IF(N47="Medium",Cover!$F$28,Cover!$F$29)))</f>
        <v/>
      </c>
      <c r="P47" s="11"/>
      <c r="Q47" s="11"/>
      <c r="R47" s="11"/>
      <c r="S47" s="18"/>
      <c r="T47" s="16"/>
      <c r="U47" s="16"/>
      <c r="V47" s="11"/>
      <c r="W47" s="18"/>
      <c r="X47" s="11"/>
      <c r="Y47" s="34"/>
      <c r="Z47" s="34"/>
      <c r="AA47" s="40"/>
      <c r="AB47" s="16"/>
      <c r="AC47" s="11"/>
      <c r="AD47" s="16"/>
      <c r="AE47" s="41" t="str">
        <f aca="true">IF(OR(A47="",E47=""),"",IF(W47&lt;&gt;"",W47-E47,TODAY()-E47))</f>
        <v/>
      </c>
      <c r="AF47" s="41" t="str">
        <f aca="true">IF(AND(U47="Pending",S47&lt;&gt;""),IF(TODAY()&gt;S47,"Overdue","No"),"")</f>
        <v/>
      </c>
      <c r="AG47" s="18"/>
      <c r="AH47" s="41" t="str">
        <f aca="false">IF(AND(A47&lt;&gt;"",U47="Pending"),IF(S47="",99999,S47)+ROW()/100000,"")</f>
        <v/>
      </c>
    </row>
    <row r="48" customFormat="false" ht="19.5" hidden="false" customHeight="true" outlineLevel="0" collapsed="false">
      <c r="A48" s="16"/>
      <c r="B48" s="11"/>
      <c r="C48" s="11"/>
      <c r="D48" s="11"/>
      <c r="E48" s="18"/>
      <c r="F48" s="11"/>
      <c r="G48" s="11"/>
      <c r="H48" s="11"/>
      <c r="I48" s="16"/>
      <c r="J48" s="11"/>
      <c r="K48" s="34"/>
      <c r="L48" s="34"/>
      <c r="M48" s="40"/>
      <c r="N48" s="41" t="str">
        <f aca="false">IF(A48="","",IF(G48="Compliance","High",IF(AND(K48="",L48="",M48=""),"To assess",IF(OR(N(K48)&gt;=Cover!$C$27,N(L48)&gt;=Cover!$D$27,N(M48)&gt;=Cover!$E$27),"High",IF(OR(N(K48)&gt;=Cover!$C$28,N(L48)&gt;=Cover!$D$28,N(M48)&gt;=Cover!$E$28),"Medium","Low")))))</f>
        <v/>
      </c>
      <c r="O48" s="41" t="str">
        <f aca="false">IF(N48="","",IF(N48="High",Cover!$F$27,IF(N48="Medium",Cover!$F$28,Cover!$F$29)))</f>
        <v/>
      </c>
      <c r="P48" s="11"/>
      <c r="Q48" s="11"/>
      <c r="R48" s="11"/>
      <c r="S48" s="18"/>
      <c r="T48" s="16"/>
      <c r="U48" s="16"/>
      <c r="V48" s="11"/>
      <c r="W48" s="18"/>
      <c r="X48" s="11"/>
      <c r="Y48" s="34"/>
      <c r="Z48" s="34"/>
      <c r="AA48" s="40"/>
      <c r="AB48" s="16"/>
      <c r="AC48" s="11"/>
      <c r="AD48" s="16"/>
      <c r="AE48" s="41" t="str">
        <f aca="true">IF(OR(A48="",E48=""),"",IF(W48&lt;&gt;"",W48-E48,TODAY()-E48))</f>
        <v/>
      </c>
      <c r="AF48" s="41" t="str">
        <f aca="true">IF(AND(U48="Pending",S48&lt;&gt;""),IF(TODAY()&gt;S48,"Overdue","No"),"")</f>
        <v/>
      </c>
      <c r="AG48" s="18"/>
      <c r="AH48" s="41" t="str">
        <f aca="false">IF(AND(A48&lt;&gt;"",U48="Pending"),IF(S48="",99999,S48)+ROW()/100000,"")</f>
        <v/>
      </c>
    </row>
    <row r="49" customFormat="false" ht="19.5" hidden="false" customHeight="true" outlineLevel="0" collapsed="false">
      <c r="A49" s="16"/>
      <c r="B49" s="11"/>
      <c r="C49" s="11"/>
      <c r="D49" s="11"/>
      <c r="E49" s="18"/>
      <c r="F49" s="11"/>
      <c r="G49" s="11"/>
      <c r="H49" s="11"/>
      <c r="I49" s="16"/>
      <c r="J49" s="11"/>
      <c r="K49" s="34"/>
      <c r="L49" s="34"/>
      <c r="M49" s="40"/>
      <c r="N49" s="41" t="str">
        <f aca="false">IF(A49="","",IF(G49="Compliance","High",IF(AND(K49="",L49="",M49=""),"To assess",IF(OR(N(K49)&gt;=Cover!$C$27,N(L49)&gt;=Cover!$D$27,N(M49)&gt;=Cover!$E$27),"High",IF(OR(N(K49)&gt;=Cover!$C$28,N(L49)&gt;=Cover!$D$28,N(M49)&gt;=Cover!$E$28),"Medium","Low")))))</f>
        <v/>
      </c>
      <c r="O49" s="41" t="str">
        <f aca="false">IF(N49="","",IF(N49="High",Cover!$F$27,IF(N49="Medium",Cover!$F$28,Cover!$F$29)))</f>
        <v/>
      </c>
      <c r="P49" s="11"/>
      <c r="Q49" s="11"/>
      <c r="R49" s="11"/>
      <c r="S49" s="18"/>
      <c r="T49" s="16"/>
      <c r="U49" s="16"/>
      <c r="V49" s="11"/>
      <c r="W49" s="18"/>
      <c r="X49" s="11"/>
      <c r="Y49" s="34"/>
      <c r="Z49" s="34"/>
      <c r="AA49" s="40"/>
      <c r="AB49" s="16"/>
      <c r="AC49" s="11"/>
      <c r="AD49" s="16"/>
      <c r="AE49" s="41" t="str">
        <f aca="true">IF(OR(A49="",E49=""),"",IF(W49&lt;&gt;"",W49-E49,TODAY()-E49))</f>
        <v/>
      </c>
      <c r="AF49" s="41" t="str">
        <f aca="true">IF(AND(U49="Pending",S49&lt;&gt;""),IF(TODAY()&gt;S49,"Overdue","No"),"")</f>
        <v/>
      </c>
      <c r="AG49" s="18"/>
      <c r="AH49" s="41" t="str">
        <f aca="false">IF(AND(A49&lt;&gt;"",U49="Pending"),IF(S49="",99999,S49)+ROW()/100000,"")</f>
        <v/>
      </c>
    </row>
    <row r="50" customFormat="false" ht="19.5" hidden="false" customHeight="true" outlineLevel="0" collapsed="false">
      <c r="A50" s="16"/>
      <c r="B50" s="11"/>
      <c r="C50" s="11"/>
      <c r="D50" s="11"/>
      <c r="E50" s="18"/>
      <c r="F50" s="11"/>
      <c r="G50" s="11"/>
      <c r="H50" s="11"/>
      <c r="I50" s="16"/>
      <c r="J50" s="11"/>
      <c r="K50" s="34"/>
      <c r="L50" s="34"/>
      <c r="M50" s="40"/>
      <c r="N50" s="41" t="str">
        <f aca="false">IF(A50="","",IF(G50="Compliance","High",IF(AND(K50="",L50="",M50=""),"To assess",IF(OR(N(K50)&gt;=Cover!$C$27,N(L50)&gt;=Cover!$D$27,N(M50)&gt;=Cover!$E$27),"High",IF(OR(N(K50)&gt;=Cover!$C$28,N(L50)&gt;=Cover!$D$28,N(M50)&gt;=Cover!$E$28),"Medium","Low")))))</f>
        <v/>
      </c>
      <c r="O50" s="41" t="str">
        <f aca="false">IF(N50="","",IF(N50="High",Cover!$F$27,IF(N50="Medium",Cover!$F$28,Cover!$F$29)))</f>
        <v/>
      </c>
      <c r="P50" s="11"/>
      <c r="Q50" s="11"/>
      <c r="R50" s="11"/>
      <c r="S50" s="18"/>
      <c r="T50" s="16"/>
      <c r="U50" s="16"/>
      <c r="V50" s="11"/>
      <c r="W50" s="18"/>
      <c r="X50" s="11"/>
      <c r="Y50" s="34"/>
      <c r="Z50" s="34"/>
      <c r="AA50" s="40"/>
      <c r="AB50" s="16"/>
      <c r="AC50" s="11"/>
      <c r="AD50" s="16"/>
      <c r="AE50" s="41" t="str">
        <f aca="true">IF(OR(A50="",E50=""),"",IF(W50&lt;&gt;"",W50-E50,TODAY()-E50))</f>
        <v/>
      </c>
      <c r="AF50" s="41" t="str">
        <f aca="true">IF(AND(U50="Pending",S50&lt;&gt;""),IF(TODAY()&gt;S50,"Overdue","No"),"")</f>
        <v/>
      </c>
      <c r="AG50" s="18"/>
      <c r="AH50" s="41" t="str">
        <f aca="false">IF(AND(A50&lt;&gt;"",U50="Pending"),IF(S50="",99999,S50)+ROW()/100000,"")</f>
        <v/>
      </c>
    </row>
    <row r="51" customFormat="false" ht="19.5" hidden="false" customHeight="true" outlineLevel="0" collapsed="false">
      <c r="A51" s="16"/>
      <c r="B51" s="11"/>
      <c r="C51" s="11"/>
      <c r="D51" s="11"/>
      <c r="E51" s="18"/>
      <c r="F51" s="11"/>
      <c r="G51" s="11"/>
      <c r="H51" s="11"/>
      <c r="I51" s="16"/>
      <c r="J51" s="11"/>
      <c r="K51" s="34"/>
      <c r="L51" s="34"/>
      <c r="M51" s="40"/>
      <c r="N51" s="41" t="str">
        <f aca="false">IF(A51="","",IF(G51="Compliance","High",IF(AND(K51="",L51="",M51=""),"To assess",IF(OR(N(K51)&gt;=Cover!$C$27,N(L51)&gt;=Cover!$D$27,N(M51)&gt;=Cover!$E$27),"High",IF(OR(N(K51)&gt;=Cover!$C$28,N(L51)&gt;=Cover!$D$28,N(M51)&gt;=Cover!$E$28),"Medium","Low")))))</f>
        <v/>
      </c>
      <c r="O51" s="41" t="str">
        <f aca="false">IF(N51="","",IF(N51="High",Cover!$F$27,IF(N51="Medium",Cover!$F$28,Cover!$F$29)))</f>
        <v/>
      </c>
      <c r="P51" s="11"/>
      <c r="Q51" s="11"/>
      <c r="R51" s="11"/>
      <c r="S51" s="18"/>
      <c r="T51" s="16"/>
      <c r="U51" s="16"/>
      <c r="V51" s="11"/>
      <c r="W51" s="18"/>
      <c r="X51" s="11"/>
      <c r="Y51" s="34"/>
      <c r="Z51" s="34"/>
      <c r="AA51" s="40"/>
      <c r="AB51" s="16"/>
      <c r="AC51" s="11"/>
      <c r="AD51" s="16"/>
      <c r="AE51" s="41" t="str">
        <f aca="true">IF(OR(A51="",E51=""),"",IF(W51&lt;&gt;"",W51-E51,TODAY()-E51))</f>
        <v/>
      </c>
      <c r="AF51" s="41" t="str">
        <f aca="true">IF(AND(U51="Pending",S51&lt;&gt;""),IF(TODAY()&gt;S51,"Overdue","No"),"")</f>
        <v/>
      </c>
      <c r="AG51" s="18"/>
      <c r="AH51" s="41" t="str">
        <f aca="false">IF(AND(A51&lt;&gt;"",U51="Pending"),IF(S51="",99999,S51)+ROW()/100000,"")</f>
        <v/>
      </c>
    </row>
    <row r="52" customFormat="false" ht="19.5" hidden="false" customHeight="true" outlineLevel="0" collapsed="false">
      <c r="A52" s="16"/>
      <c r="B52" s="11"/>
      <c r="C52" s="11"/>
      <c r="D52" s="11"/>
      <c r="E52" s="18"/>
      <c r="F52" s="11"/>
      <c r="G52" s="11"/>
      <c r="H52" s="11"/>
      <c r="I52" s="16"/>
      <c r="J52" s="11"/>
      <c r="K52" s="34"/>
      <c r="L52" s="34"/>
      <c r="M52" s="40"/>
      <c r="N52" s="41" t="str">
        <f aca="false">IF(A52="","",IF(G52="Compliance","High",IF(AND(K52="",L52="",M52=""),"To assess",IF(OR(N(K52)&gt;=Cover!$C$27,N(L52)&gt;=Cover!$D$27,N(M52)&gt;=Cover!$E$27),"High",IF(OR(N(K52)&gt;=Cover!$C$28,N(L52)&gt;=Cover!$D$28,N(M52)&gt;=Cover!$E$28),"Medium","Low")))))</f>
        <v/>
      </c>
      <c r="O52" s="41" t="str">
        <f aca="false">IF(N52="","",IF(N52="High",Cover!$F$27,IF(N52="Medium",Cover!$F$28,Cover!$F$29)))</f>
        <v/>
      </c>
      <c r="P52" s="11"/>
      <c r="Q52" s="11"/>
      <c r="R52" s="11"/>
      <c r="S52" s="18"/>
      <c r="T52" s="16"/>
      <c r="U52" s="16"/>
      <c r="V52" s="11"/>
      <c r="W52" s="18"/>
      <c r="X52" s="11"/>
      <c r="Y52" s="34"/>
      <c r="Z52" s="34"/>
      <c r="AA52" s="40"/>
      <c r="AB52" s="16"/>
      <c r="AC52" s="11"/>
      <c r="AD52" s="16"/>
      <c r="AE52" s="41" t="str">
        <f aca="true">IF(OR(A52="",E52=""),"",IF(W52&lt;&gt;"",W52-E52,TODAY()-E52))</f>
        <v/>
      </c>
      <c r="AF52" s="41" t="str">
        <f aca="true">IF(AND(U52="Pending",S52&lt;&gt;""),IF(TODAY()&gt;S52,"Overdue","No"),"")</f>
        <v/>
      </c>
      <c r="AG52" s="18"/>
      <c r="AH52" s="41" t="str">
        <f aca="false">IF(AND(A52&lt;&gt;"",U52="Pending"),IF(S52="",99999,S52)+ROW()/100000,"")</f>
        <v/>
      </c>
    </row>
    <row r="53" customFormat="false" ht="19.5" hidden="false" customHeight="true" outlineLevel="0" collapsed="false">
      <c r="A53" s="16"/>
      <c r="B53" s="11"/>
      <c r="C53" s="11"/>
      <c r="D53" s="11"/>
      <c r="E53" s="18"/>
      <c r="F53" s="11"/>
      <c r="G53" s="11"/>
      <c r="H53" s="11"/>
      <c r="I53" s="16"/>
      <c r="J53" s="11"/>
      <c r="K53" s="34"/>
      <c r="L53" s="34"/>
      <c r="M53" s="40"/>
      <c r="N53" s="41" t="str">
        <f aca="false">IF(A53="","",IF(G53="Compliance","High",IF(AND(K53="",L53="",M53=""),"To assess",IF(OR(N(K53)&gt;=Cover!$C$27,N(L53)&gt;=Cover!$D$27,N(M53)&gt;=Cover!$E$27),"High",IF(OR(N(K53)&gt;=Cover!$C$28,N(L53)&gt;=Cover!$D$28,N(M53)&gt;=Cover!$E$28),"Medium","Low")))))</f>
        <v/>
      </c>
      <c r="O53" s="41" t="str">
        <f aca="false">IF(N53="","",IF(N53="High",Cover!$F$27,IF(N53="Medium",Cover!$F$28,Cover!$F$29)))</f>
        <v/>
      </c>
      <c r="P53" s="11"/>
      <c r="Q53" s="11"/>
      <c r="R53" s="11"/>
      <c r="S53" s="18"/>
      <c r="T53" s="16"/>
      <c r="U53" s="16"/>
      <c r="V53" s="11"/>
      <c r="W53" s="18"/>
      <c r="X53" s="11"/>
      <c r="Y53" s="34"/>
      <c r="Z53" s="34"/>
      <c r="AA53" s="40"/>
      <c r="AB53" s="16"/>
      <c r="AC53" s="11"/>
      <c r="AD53" s="16"/>
      <c r="AE53" s="41" t="str">
        <f aca="true">IF(OR(A53="",E53=""),"",IF(W53&lt;&gt;"",W53-E53,TODAY()-E53))</f>
        <v/>
      </c>
      <c r="AF53" s="41" t="str">
        <f aca="true">IF(AND(U53="Pending",S53&lt;&gt;""),IF(TODAY()&gt;S53,"Overdue","No"),"")</f>
        <v/>
      </c>
      <c r="AG53" s="18"/>
      <c r="AH53" s="41" t="str">
        <f aca="false">IF(AND(A53&lt;&gt;"",U53="Pending"),IF(S53="",99999,S53)+ROW()/100000,"")</f>
        <v/>
      </c>
    </row>
    <row r="54" customFormat="false" ht="19.5" hidden="false" customHeight="true" outlineLevel="0" collapsed="false">
      <c r="A54" s="16"/>
      <c r="B54" s="11"/>
      <c r="C54" s="11"/>
      <c r="D54" s="11"/>
      <c r="E54" s="18"/>
      <c r="F54" s="11"/>
      <c r="G54" s="11"/>
      <c r="H54" s="11"/>
      <c r="I54" s="16"/>
      <c r="J54" s="11"/>
      <c r="K54" s="34"/>
      <c r="L54" s="34"/>
      <c r="M54" s="40"/>
      <c r="N54" s="41" t="str">
        <f aca="false">IF(A54="","",IF(G54="Compliance","High",IF(AND(K54="",L54="",M54=""),"To assess",IF(OR(N(K54)&gt;=Cover!$C$27,N(L54)&gt;=Cover!$D$27,N(M54)&gt;=Cover!$E$27),"High",IF(OR(N(K54)&gt;=Cover!$C$28,N(L54)&gt;=Cover!$D$28,N(M54)&gt;=Cover!$E$28),"Medium","Low")))))</f>
        <v/>
      </c>
      <c r="O54" s="41" t="str">
        <f aca="false">IF(N54="","",IF(N54="High",Cover!$F$27,IF(N54="Medium",Cover!$F$28,Cover!$F$29)))</f>
        <v/>
      </c>
      <c r="P54" s="11"/>
      <c r="Q54" s="11"/>
      <c r="R54" s="11"/>
      <c r="S54" s="18"/>
      <c r="T54" s="16"/>
      <c r="U54" s="16"/>
      <c r="V54" s="11"/>
      <c r="W54" s="18"/>
      <c r="X54" s="11"/>
      <c r="Y54" s="34"/>
      <c r="Z54" s="34"/>
      <c r="AA54" s="40"/>
      <c r="AB54" s="16"/>
      <c r="AC54" s="11"/>
      <c r="AD54" s="16"/>
      <c r="AE54" s="41" t="str">
        <f aca="true">IF(OR(A54="",E54=""),"",IF(W54&lt;&gt;"",W54-E54,TODAY()-E54))</f>
        <v/>
      </c>
      <c r="AF54" s="41" t="str">
        <f aca="true">IF(AND(U54="Pending",S54&lt;&gt;""),IF(TODAY()&gt;S54,"Overdue","No"),"")</f>
        <v/>
      </c>
      <c r="AG54" s="18"/>
      <c r="AH54" s="41" t="str">
        <f aca="false">IF(AND(A54&lt;&gt;"",U54="Pending"),IF(S54="",99999,S54)+ROW()/100000,"")</f>
        <v/>
      </c>
    </row>
  </sheetData>
  <autoFilter ref="A4:AG54"/>
  <conditionalFormatting sqref="N5:N54">
    <cfRule type="cellIs" priority="2" operator="equal" aboveAverage="0" equalAverage="0" bottom="0" percent="0" rank="0" text="" dxfId="0">
      <formula>"High"</formula>
    </cfRule>
    <cfRule type="cellIs" priority="3" operator="equal" aboveAverage="0" equalAverage="0" bottom="0" percent="0" rank="0" text="" dxfId="1">
      <formula>"Medium"</formula>
    </cfRule>
    <cfRule type="cellIs" priority="4" operator="equal" aboveAverage="0" equalAverage="0" bottom="0" percent="0" rank="0" text="" dxfId="2">
      <formula>"Low"</formula>
    </cfRule>
    <cfRule type="cellIs" priority="5" operator="equal" aboveAverage="0" equalAverage="0" bottom="0" percent="0" rank="0" text="" dxfId="3">
      <formula>"To assess"</formula>
    </cfRule>
  </conditionalFormatting>
  <conditionalFormatting sqref="U5:U54">
    <cfRule type="cellIs" priority="6" operator="equal" aboveAverage="0" equalAverage="0" bottom="0" percent="0" rank="0" text="" dxfId="1">
      <formula>"Pending"</formula>
    </cfRule>
    <cfRule type="cellIs" priority="7" operator="equal" aboveAverage="0" equalAverage="0" bottom="0" percent="0" rank="0" text="" dxfId="2">
      <formula>"Approved"</formula>
    </cfRule>
    <cfRule type="cellIs" priority="8" operator="equal" aboveAverage="0" equalAverage="0" bottom="0" percent="0" rank="0" text="" dxfId="2">
      <formula>"Approved with Conditions"</formula>
    </cfRule>
    <cfRule type="cellIs" priority="9" operator="equal" aboveAverage="0" equalAverage="0" bottom="0" percent="0" rank="0" text="" dxfId="3">
      <formula>"Rejected"</formula>
    </cfRule>
    <cfRule type="cellIs" priority="10" operator="equal" aboveAverage="0" equalAverage="0" bottom="0" percent="0" rank="0" text="" dxfId="3">
      <formula>"Deferred"</formula>
    </cfRule>
    <cfRule type="cellIs" priority="11" operator="equal" aboveAverage="0" equalAverage="0" bottom="0" percent="0" rank="0" text="" dxfId="3">
      <formula>"Withdrawn"</formula>
    </cfRule>
  </conditionalFormatting>
  <conditionalFormatting sqref="AF5:AF54">
    <cfRule type="cellIs" priority="12" operator="equal" aboveAverage="0" equalAverage="0" bottom="0" percent="0" rank="0" text="" dxfId="0">
      <formula>"Overdue"</formula>
    </cfRule>
  </conditionalFormatting>
  <conditionalFormatting sqref="I5:I54">
    <cfRule type="cellIs" priority="13" operator="equal" aboveAverage="0" equalAverage="0" bottom="0" percent="0" rank="0" text="" dxfId="0">
      <formula>"Critical"</formula>
    </cfRule>
    <cfRule type="cellIs" priority="14" operator="equal" aboveAverage="0" equalAverage="0" bottom="0" percent="0" rank="0" text="" dxfId="0">
      <formula>"High"</formula>
    </cfRule>
    <cfRule type="cellIs" priority="15" operator="equal" aboveAverage="0" equalAverage="0" bottom="0" percent="0" rank="0" text="" dxfId="1">
      <formula>"Medium"</formula>
    </cfRule>
    <cfRule type="cellIs" priority="16" operator="equal" aboveAverage="0" equalAverage="0" bottom="0" percent="0" rank="0" text="" dxfId="2">
      <formula>"Low"</formula>
    </cfRule>
  </conditionalFormatting>
  <dataValidations count="6">
    <dataValidation allowBlank="true" errorStyle="stop" operator="between" showDropDown="false" showErrorMessage="false" showInputMessage="false" sqref="F5:F54" type="list">
      <formula1>"Regulatory,Compliance,Business Request,Stakeholder Feedback,Technical Finding,Defect,Dependency Slip,Third Party"</formula1>
      <formula2>0</formula2>
    </dataValidation>
    <dataValidation allowBlank="true" errorStyle="stop" operator="between" showDropDown="false" showErrorMessage="false" showInputMessage="false" sqref="G5:G54" type="list">
      <formula1>"Scope,Schedule,Cost / Effort,Requirements,Technical,Compliance"</formula1>
      <formula2>0</formula2>
    </dataValidation>
    <dataValidation allowBlank="true" errorStyle="stop" operator="between" showDropDown="false" showErrorMessage="false" showInputMessage="false" sqref="I5:I54" type="list">
      <formula1>"Critical,High,Medium,Low"</formula1>
      <formula2>0</formula2>
    </dataValidation>
    <dataValidation allowBlank="true" errorStyle="stop" operator="between" showDropDown="false" showErrorMessage="false" showInputMessage="false" sqref="T5:T54" type="list">
      <formula1>"Logged,Under Assessment,Awaiting Decision,Implementing,Closed"</formula1>
      <formula2>0</formula2>
    </dataValidation>
    <dataValidation allowBlank="true" errorStyle="stop" operator="between" showDropDown="false" showErrorMessage="false" showInputMessage="false" sqref="U5:U54" type="list">
      <formula1>"Pending,Approved,Approved with Conditions,Rejected,Deferred,Withdrawn"</formula1>
      <formula2>0</formula2>
    </dataValidation>
    <dataValidation allowBlank="true" errorStyle="stop" operator="between" showDropDown="false" showErrorMessage="false" showInputMessage="false" sqref="AB5:AB54" type="list">
      <formula1>"Not Started,In Progress,Implemented,Verified,N/A"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2026-09-10T16:04:34Z</dcterms:created>
  <dc:creator>openpyxl</dc:creator>
  <dc:description/>
  <dc:language>en-US</dc:language>
  <cp:lastModifiedBy/>
  <dcterms:modified xsi:type="dcterms:W3CDTF">2026-09-10T16:04:34Z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